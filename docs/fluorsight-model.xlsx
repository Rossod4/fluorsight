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s" sheetId="1" state="visible" r:id="rId1"/>
    <sheet name="Assumptions" sheetId="2" state="visible" r:id="rId2"/>
    <sheet name="Model" sheetId="3" state="visible" r:id="rId3"/>
    <sheet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"/>
    <numFmt numFmtId="165" formatCode="0.0%"/>
  </numFmts>
  <fonts count="12">
    <font>
      <name val="Calibri"/>
      <family val="2"/>
      <color theme="1"/>
      <sz val="11"/>
      <scheme val="minor"/>
    </font>
    <font>
      <b val="1"/>
      <sz val="15"/>
    </font>
    <font>
      <i val="1"/>
      <color rgb="0052514E"/>
      <sz val="10"/>
    </font>
    <font>
      <b val="1"/>
      <color rgb="00FFFFFF"/>
      <sz val="10"/>
    </font>
    <font>
      <b val="1"/>
    </font>
    <font>
      <color rgb="0052514E"/>
      <sz val="9"/>
    </font>
    <font>
      <b val="1"/>
      <color rgb="00B45309"/>
    </font>
    <font>
      <b val="1"/>
      <sz val="11"/>
    </font>
    <font>
      <b val="1"/>
      <color rgb="000B0B0B"/>
    </font>
    <font>
      <b val="1"/>
      <color rgb="000F766E"/>
    </font>
    <font>
      <b val="1"/>
      <color rgb="0052514E"/>
      <sz val="10"/>
    </font>
    <font>
      <i val="1"/>
      <color rgb="0052514E"/>
      <sz val="9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pivotButton="0" quotePrefix="0" xfId="0"/>
    <xf numFmtId="0" fontId="5" fillId="0" borderId="0" applyAlignment="1" pivotButton="0" quotePrefix="0" xfId="0">
      <alignment vertical="top" wrapText="1"/>
    </xf>
    <xf numFmtId="9" fontId="4" fillId="3" borderId="1" pivotButton="0" quotePrefix="0" xfId="0"/>
    <xf numFmtId="164" fontId="4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One 500-sample programme: £125,000 becomes £50,000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'Model'!B29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'Model'!$A$30:$A$31</f>
            </numRef>
          </cat>
          <val>
            <numRef>
              <f>'Model'!$B$30:$B$31</f>
            </numRef>
          </val>
        </ser>
        <ser>
          <idx val="1"/>
          <order val="1"/>
          <tx>
            <strRef>
              <f>'Model'!C29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'Model'!$A$30:$A$31</f>
            </numRef>
          </cat>
          <val>
            <numRef>
              <f>'Model'!$C$30:$C$31</f>
            </numRef>
          </val>
        </ser>
        <ser>
          <idx val="2"/>
          <order val="2"/>
          <tx>
            <strRef>
              <f>'Model'!D29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'Model'!$A$30:$A$31</f>
            </numRef>
          </cat>
          <val>
            <numRef>
              <f>'Model'!$D$30:$D$31</f>
            </numRef>
          </val>
        </ser>
        <ser>
          <idx val="3"/>
          <order val="3"/>
          <tx>
            <strRef>
              <f>'Model'!E29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'Model'!$A$30:$A$31</f>
            </numRef>
          </cat>
          <val>
            <numRef>
              <f>'Model'!$E$30:$E$31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Annual cost</a:t>
                </a:r>
              </a:p>
            </rich>
          </tx>
        </title>
        <numFmt formatCode="&quot;£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saving holds across the rate we are least sure of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'Sensitivity'!C5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'Sensitivity'!$A$6:$A$16</f>
            </numRef>
          </cat>
          <val>
            <numRef>
              <f>'Sensitivity'!$C$6:$C$16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Share of screened samples sent to the lab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Customer saving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Triage stops paying only below ~£62.50 a sample. We assume £250.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'Sensitivity'!F5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'Sensitivity'!$E$6:$E$21</f>
            </numRef>
          </cat>
          <val>
            <numRef>
              <f>'Sensitivity'!$F$6:$F$21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What the laboratory charges per 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Net saving</a:t>
                </a:r>
              </a:p>
            </rich>
          </tx>
        </title>
        <numFmt formatCode="&quot;£&quot;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Small customers: the subscription, not the device, is what hurts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'Sensitivity'!M5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'Sensitivity'!$L$6:$L$13</f>
            </numRef>
          </cat>
          <val>
            <numRef>
              <f>'Sensitivity'!$M$6:$M$13</f>
            </numRef>
          </val>
          <smooth val="0"/>
        </ser>
        <ser>
          <idx val="1"/>
          <order val="1"/>
          <tx>
            <strRef>
              <f>'Sensitivity'!N5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'Sensitivity'!$L$6:$L$13</f>
            </numRef>
          </cat>
          <val>
            <numRef>
              <f>'Sensitivity'!$N$6:$N$13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Customer's annual sample volume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Customer saving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What we charge per refill: their saving against our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'Sensitivity'!I5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'Sensitivity'!$H$6:$H$16</f>
            </numRef>
          </cat>
          <val>
            <numRef>
              <f>'Sensitivity'!$I$6:$I$16</f>
            </numRef>
          </val>
          <smooth val="0"/>
        </ser>
        <ser>
          <idx val="1"/>
          <order val="1"/>
          <tx>
            <strRef>
              <f>'Sensitivity'!J5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'Sensitivity'!$H$6:$H$16</f>
            </numRef>
          </cat>
          <val>
            <numRef>
              <f>'Sensitivity'!$J$6:$J$16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Price we charge per screen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Annual £</a:t>
                </a:r>
              </a:p>
            </rich>
          </tx>
        </title>
        <numFmt formatCode="&quot;£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3</row>
      <rowOff>0</rowOff>
    </from>
    <ext cx="54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540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39</row>
      <rowOff>0</rowOff>
    </from>
    <ext cx="540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inlineStr">
        <is>
          <t>Charts — copy any of these straight into PowerPoint</t>
        </is>
      </c>
    </row>
    <row r="2">
      <c r="A2" s="2" t="inlineStr">
        <is>
          <t>Right-click → Copy, paste into a slide. They stay linked to this workbook, so changing an assumption updates the slide. Data is on the Model and Sensitivity sheets.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3" customWidth="1" min="4" max="4"/>
    <col width="74" customWidth="1" min="5" max="5"/>
  </cols>
  <sheetData>
    <row r="1">
      <c r="A1" s="1" t="inlineStr">
        <is>
          <t>Fluorsight — business model assumptions</t>
        </is>
      </c>
    </row>
    <row r="2">
      <c r="A2" s="2" t="inlineStr">
        <is>
          <t>Change any yellow cell. Everything else in this workbook is a formula and will follow.</t>
        </is>
      </c>
    </row>
    <row r="5">
      <c r="A5" s="3" t="inlineStr">
        <is>
          <t>Input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Status</t>
        </is>
      </c>
      <c r="E5" s="3" t="inlineStr">
        <is>
          <t>Where it comes from</t>
        </is>
      </c>
    </row>
    <row r="6">
      <c r="A6" t="inlineStr">
        <is>
          <t>Portfolio size</t>
        </is>
      </c>
      <c r="B6" s="4" t="n">
        <v>500</v>
      </c>
      <c r="C6" t="inlineStr">
        <is>
          <t>samples / year</t>
        </is>
      </c>
      <c r="D6" t="inlineStr">
        <is>
          <t>MODELLED</t>
        </is>
      </c>
      <c r="E6" s="5" t="inlineStr">
        <is>
          <t>Illustrative annual programme for one customer. Our choice.</t>
        </is>
      </c>
    </row>
    <row r="7">
      <c r="A7" t="inlineStr">
        <is>
          <t>Escalation rate</t>
        </is>
      </c>
      <c r="B7" s="6" t="n">
        <v>0.2</v>
      </c>
      <c r="C7" t="inlineStr">
        <is>
          <t>share screened</t>
        </is>
      </c>
      <c r="D7" t="inlineStr">
        <is>
          <t>MODELLED</t>
        </is>
      </c>
      <c r="E7" s="5" t="inlineStr">
        <is>
          <t>The weakest assumption in the model. See Sensitivity table A.</t>
        </is>
      </c>
    </row>
    <row r="8">
      <c r="A8" t="inlineStr">
        <is>
          <t>Lab cost per sample</t>
        </is>
      </c>
      <c r="B8" s="7" t="n">
        <v>250</v>
      </c>
      <c r="C8" t="inlineStr">
        <is>
          <t>£ / sample</t>
        </is>
      </c>
      <c r="D8" t="inlineStr">
        <is>
          <t>MODELLED</t>
        </is>
      </c>
      <c r="E8" s="5" t="inlineStr">
        <is>
          <t>No UK lab publishes a rate card — 7 providers' published pricing checked, all quote on request.</t>
        </is>
      </c>
    </row>
    <row r="9">
      <c r="A9" t="inlineStr">
        <is>
          <t>Annual subscription</t>
        </is>
      </c>
      <c r="B9" s="7" t="n">
        <v>5000</v>
      </c>
      <c r="C9" t="inlineStr">
        <is>
          <t>£ / year</t>
        </is>
      </c>
      <c r="D9" t="inlineStr">
        <is>
          <t>MODELLED</t>
        </is>
      </c>
      <c r="E9" s="5" t="inlineStr">
        <is>
          <t>Pricing decision. Set to 0 to model pure device-and-refills — see Sensitivity table D.</t>
        </is>
      </c>
    </row>
    <row r="10">
      <c r="A10" t="inlineStr">
        <is>
          <t>Refill price to customer</t>
        </is>
      </c>
      <c r="B10" s="7" t="n">
        <v>40</v>
      </c>
      <c r="C10" t="inlineStr">
        <is>
          <t>£ / sample</t>
        </is>
      </c>
      <c r="D10" t="inlineStr">
        <is>
          <t>MODELLED</t>
        </is>
      </c>
      <c r="E10" s="5" t="inlineStr">
        <is>
          <t>What we charge per screen. A price, not a cost.</t>
        </is>
      </c>
    </row>
    <row r="11">
      <c r="A11" t="inlineStr">
        <is>
          <t>Refill cost to us</t>
        </is>
      </c>
      <c r="B11" s="7" t="n">
        <v>1</v>
      </c>
      <c r="C11" t="inlineStr">
        <is>
          <t>£ / sample</t>
        </is>
      </c>
      <c r="D11" t="inlineStr">
        <is>
          <t>MODELLED</t>
        </is>
      </c>
      <c r="E11" s="5" t="inlineStr">
        <is>
          <t>Dom &amp; Evan build costing, Sept 2026. Rounded up — their estimate was nearer 50p.</t>
        </is>
      </c>
    </row>
    <row r="12">
      <c r="A12" t="inlineStr">
        <is>
          <t>Device cost to us</t>
        </is>
      </c>
      <c r="B12" s="7" t="n">
        <v>40</v>
      </c>
      <c r="C12" t="inlineStr">
        <is>
          <t>£ / device</t>
        </is>
      </c>
      <c r="D12" t="inlineStr">
        <is>
          <t>MODELLED</t>
        </is>
      </c>
      <c r="E12" s="5" t="inlineStr">
        <is>
          <t>Dom &amp; Evan build costing, Sept 2026.</t>
        </is>
      </c>
    </row>
    <row r="13">
      <c r="A13" t="inlineStr">
        <is>
          <t>Device price to customer</t>
        </is>
      </c>
      <c r="B13" s="7" t="n">
        <v>150</v>
      </c>
      <c r="C13" t="inlineStr">
        <is>
          <t>£ / device</t>
        </is>
      </c>
      <c r="D13" s="8" t="inlineStr">
        <is>
          <t>ASSUMED</t>
        </is>
      </c>
      <c r="E13" s="5" t="inlineStr">
        <is>
          <t>PLACEHOLDER — no pricing decision has been made. Change this.</t>
        </is>
      </c>
    </row>
    <row r="14">
      <c r="A14" t="inlineStr">
        <is>
          <t>Devices per customer</t>
        </is>
      </c>
      <c r="B14" s="4" t="n">
        <v>1</v>
      </c>
      <c r="C14" t="inlineStr">
        <is>
          <t>devices</t>
        </is>
      </c>
      <c r="D14" s="8" t="inlineStr">
        <is>
          <t>ASSUMED</t>
        </is>
      </c>
      <c r="E14" s="5" t="inlineStr">
        <is>
          <t>PLACEHOLDER — one reader per customer. A field team may need several.</t>
        </is>
      </c>
    </row>
    <row r="16">
      <c r="A16" s="9" t="inlineStr">
        <is>
          <t>Reference — context, not inputs</t>
        </is>
      </c>
    </row>
    <row r="17">
      <c r="A17" t="inlineStr">
        <is>
          <t>Lab turnaround</t>
        </is>
      </c>
      <c r="B17" t="inlineStr">
        <is>
          <t>10–15 working days</t>
        </is>
      </c>
      <c r="D17" t="inlineStr">
        <is>
          <t>PUBLISHED</t>
        </is>
      </c>
      <c r="E17" s="5" t="inlineStr">
        <is>
          <t>SOCOTEC UK PFAS page, checked Sept 2026.</t>
        </is>
      </c>
    </row>
    <row r="18">
      <c r="A18" t="inlineStr">
        <is>
          <t>Published water price (Finland)</t>
        </is>
      </c>
      <c r="B18" t="inlineStr">
        <is>
          <t>€175–300 / sample</t>
        </is>
      </c>
      <c r="D18" t="inlineStr">
        <is>
          <t>PUBLISHED</t>
        </is>
      </c>
      <c r="E18" s="5" t="inlineStr">
        <is>
          <t>Measurlabs list price. Not UK, not like-for-like scope.</t>
        </is>
      </c>
    </row>
    <row r="19">
      <c r="A19" t="inlineStr">
        <is>
          <t>Nearest published UK figure</t>
        </is>
      </c>
      <c r="B19" t="inlineStr">
        <is>
          <t>£350 / sample</t>
        </is>
      </c>
      <c r="D19" t="inlineStr">
        <is>
          <t>PUBLISHED</t>
        </is>
      </c>
      <c r="E19" s="5" t="inlineStr">
        <is>
          <t>EIA to Commons EAC, May 2025 — SOIL, explicitly excludes water. Does NOT validate the £250.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72" customWidth="1" min="3" max="3"/>
  </cols>
  <sheetData>
    <row r="1">
      <c r="A1" s="1" t="inlineStr">
        <is>
          <t>The model — one customer, one year</t>
        </is>
      </c>
    </row>
    <row r="2">
      <c r="A2" s="2" t="inlineStr">
        <is>
          <t>Every cell is a formula off the Assumptions sheet.</t>
        </is>
      </c>
    </row>
    <row r="5">
      <c r="A5" s="3" t="inlineStr">
        <is>
          <t>What the customer pays</t>
        </is>
      </c>
      <c r="B5" s="3" t="n"/>
      <c r="C5" s="3" t="n"/>
    </row>
    <row r="6">
      <c r="A6" t="inlineStr">
        <is>
          <t>Testing everything at the lab</t>
        </is>
      </c>
      <c r="B6" s="10">
        <f>Assumptions!B6*Assumptions!B8</f>
        <v/>
      </c>
      <c r="C6" s="5" t="inlineStr">
        <is>
          <t>The do-nothing baseline: portfolio × lab cost.</t>
        </is>
      </c>
    </row>
    <row r="7">
      <c r="A7" t="inlineStr">
        <is>
          <t>Samples escalated to the lab</t>
        </is>
      </c>
      <c r="B7" s="11">
        <f>ROUND(Assumptions!B6*Assumptions!B7,0)</f>
        <v/>
      </c>
    </row>
    <row r="8">
      <c r="A8" t="inlineStr">
        <is>
          <t xml:space="preserve">  Lab spend under triage</t>
        </is>
      </c>
      <c r="B8" s="10">
        <f>B7*Assumptions!B8</f>
        <v/>
      </c>
    </row>
    <row r="9">
      <c r="A9" t="inlineStr">
        <is>
          <t xml:space="preserve">  Screening refills</t>
        </is>
      </c>
      <c r="B9" s="10">
        <f>Assumptions!B6*Assumptions!B10</f>
        <v/>
      </c>
      <c r="C9" s="5" t="inlineStr">
        <is>
          <t>Every sample is screened, so this is the whole portfolio.</t>
        </is>
      </c>
    </row>
    <row r="10">
      <c r="A10" t="inlineStr">
        <is>
          <t xml:space="preserve">  Software subscription</t>
        </is>
      </c>
      <c r="B10" s="10">
        <f>Assumptions!B9</f>
        <v/>
      </c>
    </row>
    <row r="11">
      <c r="A11" t="inlineStr">
        <is>
          <t xml:space="preserve">  Devices</t>
        </is>
      </c>
      <c r="B11" s="10">
        <f>Assumptions!B13*Assumptions!B14</f>
        <v/>
      </c>
      <c r="C11" s="5" t="inlineStr">
        <is>
          <t>One-off. A durable reader, not a per-year cost.</t>
        </is>
      </c>
    </row>
    <row r="12">
      <c r="A12" s="12" t="inlineStr">
        <is>
          <t>Total with Fluorsight</t>
        </is>
      </c>
      <c r="B12" s="13">
        <f>B8+B9+B10+B11</f>
        <v/>
      </c>
    </row>
    <row r="13">
      <c r="A13" s="14" t="inlineStr">
        <is>
          <t>Customer saving</t>
        </is>
      </c>
      <c r="B13" s="15">
        <f>B6-B12</f>
        <v/>
      </c>
    </row>
    <row r="14">
      <c r="A14" s="14" t="inlineStr">
        <is>
          <t>Saving as a share</t>
        </is>
      </c>
      <c r="B14" s="16">
        <f>B13/B6</f>
        <v/>
      </c>
    </row>
    <row r="16">
      <c r="A16" s="3" t="inlineStr">
        <is>
          <t>What it means for us</t>
        </is>
      </c>
      <c r="B16" s="3" t="n"/>
      <c r="C16" s="3" t="n"/>
    </row>
    <row r="17">
      <c r="A17" t="inlineStr">
        <is>
          <t>Revenue</t>
        </is>
      </c>
      <c r="B17" s="10">
        <f>Assumptions!B9+Assumptions!B6*Assumptions!B10+Assumptions!B13*Assumptions!B14</f>
        <v/>
      </c>
      <c r="C17" s="5" t="inlineStr">
        <is>
          <t>Subscription + refills + device sale.</t>
        </is>
      </c>
    </row>
    <row r="18">
      <c r="A18" t="inlineStr">
        <is>
          <t>Cost of goods</t>
        </is>
      </c>
      <c r="B18" s="10">
        <f>Assumptions!B6*Assumptions!B11+Assumptions!B14*Assumptions!B12</f>
        <v/>
      </c>
      <c r="C18" s="5" t="inlineStr">
        <is>
          <t>Refills + devices, at our cost.</t>
        </is>
      </c>
    </row>
    <row r="19">
      <c r="A19" s="12" t="inlineStr">
        <is>
          <t>Gross profit</t>
        </is>
      </c>
      <c r="B19" s="13">
        <f>B17-B18</f>
        <v/>
      </c>
    </row>
    <row r="20">
      <c r="A20" t="inlineStr">
        <is>
          <t>Gross margin</t>
        </is>
      </c>
      <c r="B20" s="17">
        <f>B19/B17</f>
        <v/>
      </c>
    </row>
    <row r="21">
      <c r="A21" t="inlineStr">
        <is>
          <t xml:space="preserve">  margin on the device alone</t>
        </is>
      </c>
      <c r="B21" s="10">
        <f>Assumptions!B14*(Assumptions!B13-Assumptions!B12)</f>
        <v/>
      </c>
    </row>
    <row r="22">
      <c r="A22" t="inlineStr">
        <is>
          <t xml:space="preserve">  device as a share of revenue</t>
        </is>
      </c>
      <c r="B22" s="17">
        <f>Assumptions!B13*Assumptions!B14/B17</f>
        <v/>
      </c>
      <c r="C22" s="5" t="inlineStr">
        <is>
          <t>If this reads ~1%, the razor-and-blades story is about the refills, not the razor.</t>
        </is>
      </c>
    </row>
    <row r="24">
      <c r="A24" s="3" t="inlineStr">
        <is>
          <t>The robustness test</t>
        </is>
      </c>
      <c r="B24" s="3" t="n"/>
      <c r="C24" s="3" t="n"/>
    </row>
    <row r="25">
      <c r="A25" t="inlineStr">
        <is>
          <t>Break-even lab cost</t>
        </is>
      </c>
      <c r="B25" s="10">
        <f>(Assumptions!B6*Assumptions!B10+Assumptions!B9+Assumptions!B13*Assumptions!B14)/(Assumptions!B6*(1-Assumptions!B7))</f>
        <v/>
      </c>
      <c r="C25" s="5" t="inlineStr">
        <is>
          <t>Triage stops paying only if lab analysis falls below this. We assume £250, so the conclusion survives being badly wrong.</t>
        </is>
      </c>
    </row>
    <row r="28">
      <c r="A28" s="18" t="inlineStr">
        <is>
          <t>Chart data — cost comparison</t>
        </is>
      </c>
    </row>
    <row r="29">
      <c r="A29" t="inlineStr"/>
      <c r="B29" t="inlineStr">
        <is>
          <t>Lab analysis</t>
        </is>
      </c>
      <c r="C29" t="inlineStr">
        <is>
          <t>Refills</t>
        </is>
      </c>
      <c r="D29" t="inlineStr">
        <is>
          <t>Subscription</t>
        </is>
      </c>
      <c r="E29" t="inlineStr">
        <is>
          <t>Devices</t>
        </is>
      </c>
    </row>
    <row r="30">
      <c r="A30" t="inlineStr">
        <is>
          <t>Test everything</t>
        </is>
      </c>
      <c r="B30" s="10">
        <f>B6</f>
        <v/>
      </c>
      <c r="C30" s="10" t="n">
        <v>0</v>
      </c>
      <c r="D30" s="10" t="n">
        <v>0</v>
      </c>
      <c r="E30" s="10" t="n">
        <v>0</v>
      </c>
    </row>
    <row r="31">
      <c r="A31" t="inlineStr">
        <is>
          <t>With Fluorsight</t>
        </is>
      </c>
      <c r="B31" s="10">
        <f>B8</f>
        <v/>
      </c>
      <c r="C31" s="10">
        <f>B9</f>
        <v/>
      </c>
      <c r="D31" s="10">
        <f>B10</f>
        <v/>
      </c>
      <c r="E31" s="10">
        <f>B11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1" customWidth="1" min="3" max="3"/>
    <col width="3" customWidth="1" min="4" max="4"/>
    <col width="19" customWidth="1" min="5" max="5"/>
    <col width="17" customWidth="1" min="6" max="6"/>
    <col width="3" customWidth="1" min="7" max="7"/>
    <col width="17" customWidth="1" min="8" max="8"/>
    <col width="19" customWidth="1" min="9" max="9"/>
    <col width="17" customWidth="1" min="10" max="10"/>
    <col width="3" customWidth="1" min="11" max="11"/>
    <col width="15" customWidth="1" min="12" max="12"/>
    <col width="24" customWidth="1" min="13" max="13"/>
    <col width="22" customWidth="1" min="14" max="14"/>
  </cols>
  <sheetData>
    <row r="1">
      <c r="A1" s="1" t="inlineStr">
        <is>
          <t>Sensitivity — what happens when the assumptions are wrong</t>
        </is>
      </c>
    </row>
    <row r="2">
      <c r="A2" s="2" t="inlineStr">
        <is>
          <t>All live off the Assumptions sheet. These four tables feed the charts.</t>
        </is>
      </c>
    </row>
    <row r="3">
      <c r="L3" s="19" t="inlineStr">
        <is>
          <t>The subscription is fixed, so it swamps a small programme. Set the subscription to 0 and watch the blue line flatten onto the orange one.</t>
        </is>
      </c>
    </row>
    <row r="4">
      <c r="A4" s="9" t="inlineStr">
        <is>
          <t>A · If more samples escalate than we assume</t>
        </is>
      </c>
      <c r="E4" s="9" t="inlineStr">
        <is>
          <t>B · Break-even — how cheap would the lab have to get?</t>
        </is>
      </c>
      <c r="H4" s="9" t="inlineStr">
        <is>
          <t>C · What we charge per refill</t>
        </is>
      </c>
      <c r="L4" s="9" t="inlineStr">
        <is>
          <t>D · Does the saving hold for a SMALL customer?</t>
        </is>
      </c>
    </row>
    <row r="5">
      <c r="A5" s="3" t="inlineStr">
        <is>
          <t>Escalation rate</t>
        </is>
      </c>
      <c r="B5" s="3" t="inlineStr">
        <is>
          <t>Customer saving (£)</t>
        </is>
      </c>
      <c r="C5" s="3" t="inlineStr">
        <is>
          <t>Saving (%)</t>
        </is>
      </c>
      <c r="E5" s="3" t="inlineStr">
        <is>
          <t>Lab cost (£/sample)</t>
        </is>
      </c>
      <c r="F5" s="3" t="inlineStr">
        <is>
          <t>Net saving (£)</t>
        </is>
      </c>
      <c r="H5" s="3" t="inlineStr">
        <is>
          <t>Refill price (£)</t>
        </is>
      </c>
      <c r="I5" s="3" t="inlineStr">
        <is>
          <t>Customer saving (£)</t>
        </is>
      </c>
      <c r="J5" s="3" t="inlineStr">
        <is>
          <t>Our revenue (£)</t>
        </is>
      </c>
      <c r="L5" s="3" t="inlineStr">
        <is>
          <t>Samples / year</t>
        </is>
      </c>
      <c r="M5" s="3" t="inlineStr">
        <is>
          <t>Saving with subscription</t>
        </is>
      </c>
      <c r="N5" s="3" t="inlineStr">
        <is>
          <t>Saving, refills only</t>
        </is>
      </c>
    </row>
    <row r="6">
      <c r="A6" s="20" t="n">
        <v>0.05</v>
      </c>
      <c r="B6" s="10">
        <f>Model!$B$6-(ROUND(Assumptions!$B$6*A6,0)*Assumptions!$B$8+Model!$B$9+Model!$B$10+Model!$B$11)</f>
        <v/>
      </c>
      <c r="C6" s="17">
        <f>B6/Model!$B$6</f>
        <v/>
      </c>
      <c r="E6" s="10" t="n">
        <v>25</v>
      </c>
      <c r="F6" s="10">
        <f>Assumptions!$B$6*E6-(ROUND(Assumptions!$B$6*Assumptions!$B$7,0)*E6+Model!$B$9+Model!$B$10+Model!$B$11)</f>
        <v/>
      </c>
      <c r="H6" s="10" t="n">
        <v>1</v>
      </c>
      <c r="I6" s="10">
        <f>Model!$B$6-(Model!$B$8+Assumptions!$B$6*H6+Model!$B$10+Model!$B$11)</f>
        <v/>
      </c>
      <c r="J6" s="10">
        <f>Assumptions!$B$9+Assumptions!$B$6*H6+Model!$B$11</f>
        <v/>
      </c>
      <c r="L6" t="n">
        <v>25</v>
      </c>
      <c r="M6" s="17">
        <f>(L6*Assumptions!$B$8-(ROUND(L6*Assumptions!$B$7,0)*Assumptions!$B$8+L6*Assumptions!$B$10+Assumptions!$B$9+Model!$B$11))/(L6*Assumptions!$B$8)</f>
        <v/>
      </c>
      <c r="N6" s="17">
        <f>(L6*Assumptions!$B$8-(ROUND(L6*Assumptions!$B$7,0)*Assumptions!$B$8+L6*Assumptions!$B$10+Model!$B$11))/(L6*Assumptions!$B$8)</f>
        <v/>
      </c>
    </row>
    <row r="7">
      <c r="A7" s="20" t="n">
        <v>0.1</v>
      </c>
      <c r="B7" s="10">
        <f>Model!$B$6-(ROUND(Assumptions!$B$6*A7,0)*Assumptions!$B$8+Model!$B$9+Model!$B$10+Model!$B$11)</f>
        <v/>
      </c>
      <c r="C7" s="17">
        <f>B7/Model!$B$6</f>
        <v/>
      </c>
      <c r="E7" s="10" t="n">
        <v>50</v>
      </c>
      <c r="F7" s="10">
        <f>Assumptions!$B$6*E7-(ROUND(Assumptions!$B$6*Assumptions!$B$7,0)*E7+Model!$B$9+Model!$B$10+Model!$B$11)</f>
        <v/>
      </c>
      <c r="H7" s="10" t="n">
        <v>2</v>
      </c>
      <c r="I7" s="10">
        <f>Model!$B$6-(Model!$B$8+Assumptions!$B$6*H7+Model!$B$10+Model!$B$11)</f>
        <v/>
      </c>
      <c r="J7" s="10">
        <f>Assumptions!$B$9+Assumptions!$B$6*H7+Model!$B$11</f>
        <v/>
      </c>
      <c r="L7" t="n">
        <v>50</v>
      </c>
      <c r="M7" s="17">
        <f>(L7*Assumptions!$B$8-(ROUND(L7*Assumptions!$B$7,0)*Assumptions!$B$8+L7*Assumptions!$B$10+Assumptions!$B$9+Model!$B$11))/(L7*Assumptions!$B$8)</f>
        <v/>
      </c>
      <c r="N7" s="17">
        <f>(L7*Assumptions!$B$8-(ROUND(L7*Assumptions!$B$7,0)*Assumptions!$B$8+L7*Assumptions!$B$10+Model!$B$11))/(L7*Assumptions!$B$8)</f>
        <v/>
      </c>
    </row>
    <row r="8">
      <c r="A8" s="20" t="n">
        <v>0.15</v>
      </c>
      <c r="B8" s="10">
        <f>Model!$B$6-(ROUND(Assumptions!$B$6*A8,0)*Assumptions!$B$8+Model!$B$9+Model!$B$10+Model!$B$11)</f>
        <v/>
      </c>
      <c r="C8" s="17">
        <f>B8/Model!$B$6</f>
        <v/>
      </c>
      <c r="E8" s="10" t="n">
        <v>75</v>
      </c>
      <c r="F8" s="10">
        <f>Assumptions!$B$6*E8-(ROUND(Assumptions!$B$6*Assumptions!$B$7,0)*E8+Model!$B$9+Model!$B$10+Model!$B$11)</f>
        <v/>
      </c>
      <c r="H8" s="10" t="n">
        <v>5</v>
      </c>
      <c r="I8" s="10">
        <f>Model!$B$6-(Model!$B$8+Assumptions!$B$6*H8+Model!$B$10+Model!$B$11)</f>
        <v/>
      </c>
      <c r="J8" s="10">
        <f>Assumptions!$B$9+Assumptions!$B$6*H8+Model!$B$11</f>
        <v/>
      </c>
      <c r="L8" t="n">
        <v>100</v>
      </c>
      <c r="M8" s="17">
        <f>(L8*Assumptions!$B$8-(ROUND(L8*Assumptions!$B$7,0)*Assumptions!$B$8+L8*Assumptions!$B$10+Assumptions!$B$9+Model!$B$11))/(L8*Assumptions!$B$8)</f>
        <v/>
      </c>
      <c r="N8" s="17">
        <f>(L8*Assumptions!$B$8-(ROUND(L8*Assumptions!$B$7,0)*Assumptions!$B$8+L8*Assumptions!$B$10+Model!$B$11))/(L8*Assumptions!$B$8)</f>
        <v/>
      </c>
    </row>
    <row r="9">
      <c r="A9" s="20" t="n">
        <v>0.2</v>
      </c>
      <c r="B9" s="10">
        <f>Model!$B$6-(ROUND(Assumptions!$B$6*A9,0)*Assumptions!$B$8+Model!$B$9+Model!$B$10+Model!$B$11)</f>
        <v/>
      </c>
      <c r="C9" s="17">
        <f>B9/Model!$B$6</f>
        <v/>
      </c>
      <c r="E9" s="10" t="n">
        <v>100</v>
      </c>
      <c r="F9" s="10">
        <f>Assumptions!$B$6*E9-(ROUND(Assumptions!$B$6*Assumptions!$B$7,0)*E9+Model!$B$9+Model!$B$10+Model!$B$11)</f>
        <v/>
      </c>
      <c r="H9" s="10" t="n">
        <v>10</v>
      </c>
      <c r="I9" s="10">
        <f>Model!$B$6-(Model!$B$8+Assumptions!$B$6*H9+Model!$B$10+Model!$B$11)</f>
        <v/>
      </c>
      <c r="J9" s="10">
        <f>Assumptions!$B$9+Assumptions!$B$6*H9+Model!$B$11</f>
        <v/>
      </c>
      <c r="L9" t="n">
        <v>200</v>
      </c>
      <c r="M9" s="17">
        <f>(L9*Assumptions!$B$8-(ROUND(L9*Assumptions!$B$7,0)*Assumptions!$B$8+L9*Assumptions!$B$10+Assumptions!$B$9+Model!$B$11))/(L9*Assumptions!$B$8)</f>
        <v/>
      </c>
      <c r="N9" s="17">
        <f>(L9*Assumptions!$B$8-(ROUND(L9*Assumptions!$B$7,0)*Assumptions!$B$8+L9*Assumptions!$B$10+Model!$B$11))/(L9*Assumptions!$B$8)</f>
        <v/>
      </c>
    </row>
    <row r="10">
      <c r="A10" s="20" t="n">
        <v>0.25</v>
      </c>
      <c r="B10" s="10">
        <f>Model!$B$6-(ROUND(Assumptions!$B$6*A10,0)*Assumptions!$B$8+Model!$B$9+Model!$B$10+Model!$B$11)</f>
        <v/>
      </c>
      <c r="C10" s="17">
        <f>B10/Model!$B$6</f>
        <v/>
      </c>
      <c r="E10" s="10" t="n">
        <v>125</v>
      </c>
      <c r="F10" s="10">
        <f>Assumptions!$B$6*E10-(ROUND(Assumptions!$B$6*Assumptions!$B$7,0)*E10+Model!$B$9+Model!$B$10+Model!$B$11)</f>
        <v/>
      </c>
      <c r="H10" s="10" t="n">
        <v>15</v>
      </c>
      <c r="I10" s="10">
        <f>Model!$B$6-(Model!$B$8+Assumptions!$B$6*H10+Model!$B$10+Model!$B$11)</f>
        <v/>
      </c>
      <c r="J10" s="10">
        <f>Assumptions!$B$9+Assumptions!$B$6*H10+Model!$B$11</f>
        <v/>
      </c>
      <c r="L10" t="n">
        <v>300</v>
      </c>
      <c r="M10" s="17">
        <f>(L10*Assumptions!$B$8-(ROUND(L10*Assumptions!$B$7,0)*Assumptions!$B$8+L10*Assumptions!$B$10+Assumptions!$B$9+Model!$B$11))/(L10*Assumptions!$B$8)</f>
        <v/>
      </c>
      <c r="N10" s="17">
        <f>(L10*Assumptions!$B$8-(ROUND(L10*Assumptions!$B$7,0)*Assumptions!$B$8+L10*Assumptions!$B$10+Model!$B$11))/(L10*Assumptions!$B$8)</f>
        <v/>
      </c>
    </row>
    <row r="11">
      <c r="A11" s="20" t="n">
        <v>0.3</v>
      </c>
      <c r="B11" s="10">
        <f>Model!$B$6-(ROUND(Assumptions!$B$6*A11,0)*Assumptions!$B$8+Model!$B$9+Model!$B$10+Model!$B$11)</f>
        <v/>
      </c>
      <c r="C11" s="17">
        <f>B11/Model!$B$6</f>
        <v/>
      </c>
      <c r="E11" s="10" t="n">
        <v>150</v>
      </c>
      <c r="F11" s="10">
        <f>Assumptions!$B$6*E11-(ROUND(Assumptions!$B$6*Assumptions!$B$7,0)*E11+Model!$B$9+Model!$B$10+Model!$B$11)</f>
        <v/>
      </c>
      <c r="H11" s="10" t="n">
        <v>20</v>
      </c>
      <c r="I11" s="10">
        <f>Model!$B$6-(Model!$B$8+Assumptions!$B$6*H11+Model!$B$10+Model!$B$11)</f>
        <v/>
      </c>
      <c r="J11" s="10">
        <f>Assumptions!$B$9+Assumptions!$B$6*H11+Model!$B$11</f>
        <v/>
      </c>
      <c r="L11" t="n">
        <v>500</v>
      </c>
      <c r="M11" s="17">
        <f>(L11*Assumptions!$B$8-(ROUND(L11*Assumptions!$B$7,0)*Assumptions!$B$8+L11*Assumptions!$B$10+Assumptions!$B$9+Model!$B$11))/(L11*Assumptions!$B$8)</f>
        <v/>
      </c>
      <c r="N11" s="17">
        <f>(L11*Assumptions!$B$8-(ROUND(L11*Assumptions!$B$7,0)*Assumptions!$B$8+L11*Assumptions!$B$10+Model!$B$11))/(L11*Assumptions!$B$8)</f>
        <v/>
      </c>
    </row>
    <row r="12">
      <c r="A12" s="20" t="n">
        <v>0.35</v>
      </c>
      <c r="B12" s="10">
        <f>Model!$B$6-(ROUND(Assumptions!$B$6*A12,0)*Assumptions!$B$8+Model!$B$9+Model!$B$10+Model!$B$11)</f>
        <v/>
      </c>
      <c r="C12" s="17">
        <f>B12/Model!$B$6</f>
        <v/>
      </c>
      <c r="E12" s="10" t="n">
        <v>175</v>
      </c>
      <c r="F12" s="10">
        <f>Assumptions!$B$6*E12-(ROUND(Assumptions!$B$6*Assumptions!$B$7,0)*E12+Model!$B$9+Model!$B$10+Model!$B$11)</f>
        <v/>
      </c>
      <c r="H12" s="10" t="n">
        <v>25</v>
      </c>
      <c r="I12" s="10">
        <f>Model!$B$6-(Model!$B$8+Assumptions!$B$6*H12+Model!$B$10+Model!$B$11)</f>
        <v/>
      </c>
      <c r="J12" s="10">
        <f>Assumptions!$B$9+Assumptions!$B$6*H12+Model!$B$11</f>
        <v/>
      </c>
      <c r="L12" t="n">
        <v>750</v>
      </c>
      <c r="M12" s="17">
        <f>(L12*Assumptions!$B$8-(ROUND(L12*Assumptions!$B$7,0)*Assumptions!$B$8+L12*Assumptions!$B$10+Assumptions!$B$9+Model!$B$11))/(L12*Assumptions!$B$8)</f>
        <v/>
      </c>
      <c r="N12" s="17">
        <f>(L12*Assumptions!$B$8-(ROUND(L12*Assumptions!$B$7,0)*Assumptions!$B$8+L12*Assumptions!$B$10+Model!$B$11))/(L12*Assumptions!$B$8)</f>
        <v/>
      </c>
    </row>
    <row r="13">
      <c r="A13" s="20" t="n">
        <v>0.4</v>
      </c>
      <c r="B13" s="10">
        <f>Model!$B$6-(ROUND(Assumptions!$B$6*A13,0)*Assumptions!$B$8+Model!$B$9+Model!$B$10+Model!$B$11)</f>
        <v/>
      </c>
      <c r="C13" s="17">
        <f>B13/Model!$B$6</f>
        <v/>
      </c>
      <c r="E13" s="10" t="n">
        <v>200</v>
      </c>
      <c r="F13" s="10">
        <f>Assumptions!$B$6*E13-(ROUND(Assumptions!$B$6*Assumptions!$B$7,0)*E13+Model!$B$9+Model!$B$10+Model!$B$11)</f>
        <v/>
      </c>
      <c r="H13" s="10" t="n">
        <v>30</v>
      </c>
      <c r="I13" s="10">
        <f>Model!$B$6-(Model!$B$8+Assumptions!$B$6*H13+Model!$B$10+Model!$B$11)</f>
        <v/>
      </c>
      <c r="J13" s="10">
        <f>Assumptions!$B$9+Assumptions!$B$6*H13+Model!$B$11</f>
        <v/>
      </c>
      <c r="L13" t="n">
        <v>1000</v>
      </c>
      <c r="M13" s="17">
        <f>(L13*Assumptions!$B$8-(ROUND(L13*Assumptions!$B$7,0)*Assumptions!$B$8+L13*Assumptions!$B$10+Assumptions!$B$9+Model!$B$11))/(L13*Assumptions!$B$8)</f>
        <v/>
      </c>
      <c r="N13" s="17">
        <f>(L13*Assumptions!$B$8-(ROUND(L13*Assumptions!$B$7,0)*Assumptions!$B$8+L13*Assumptions!$B$10+Model!$B$11))/(L13*Assumptions!$B$8)</f>
        <v/>
      </c>
    </row>
    <row r="14">
      <c r="A14" s="20" t="n">
        <v>0.45</v>
      </c>
      <c r="B14" s="10">
        <f>Model!$B$6-(ROUND(Assumptions!$B$6*A14,0)*Assumptions!$B$8+Model!$B$9+Model!$B$10+Model!$B$11)</f>
        <v/>
      </c>
      <c r="C14" s="17">
        <f>B14/Model!$B$6</f>
        <v/>
      </c>
      <c r="E14" s="10" t="n">
        <v>225</v>
      </c>
      <c r="F14" s="10">
        <f>Assumptions!$B$6*E14-(ROUND(Assumptions!$B$6*Assumptions!$B$7,0)*E14+Model!$B$9+Model!$B$10+Model!$B$11)</f>
        <v/>
      </c>
      <c r="H14" s="10" t="n">
        <v>35</v>
      </c>
      <c r="I14" s="10">
        <f>Model!$B$6-(Model!$B$8+Assumptions!$B$6*H14+Model!$B$10+Model!$B$11)</f>
        <v/>
      </c>
      <c r="J14" s="10">
        <f>Assumptions!$B$9+Assumptions!$B$6*H14+Model!$B$11</f>
        <v/>
      </c>
    </row>
    <row r="15">
      <c r="A15" s="20" t="n">
        <v>0.5</v>
      </c>
      <c r="B15" s="10">
        <f>Model!$B$6-(ROUND(Assumptions!$B$6*A15,0)*Assumptions!$B$8+Model!$B$9+Model!$B$10+Model!$B$11)</f>
        <v/>
      </c>
      <c r="C15" s="17">
        <f>B15/Model!$B$6</f>
        <v/>
      </c>
      <c r="E15" s="10" t="n">
        <v>250</v>
      </c>
      <c r="F15" s="10">
        <f>Assumptions!$B$6*E15-(ROUND(Assumptions!$B$6*Assumptions!$B$7,0)*E15+Model!$B$9+Model!$B$10+Model!$B$11)</f>
        <v/>
      </c>
      <c r="H15" s="10" t="n">
        <v>40</v>
      </c>
      <c r="I15" s="10">
        <f>Model!$B$6-(Model!$B$8+Assumptions!$B$6*H15+Model!$B$10+Model!$B$11)</f>
        <v/>
      </c>
      <c r="J15" s="10">
        <f>Assumptions!$B$9+Assumptions!$B$6*H15+Model!$B$11</f>
        <v/>
      </c>
    </row>
    <row r="16">
      <c r="A16" s="20" t="n">
        <v>0.55</v>
      </c>
      <c r="B16" s="10">
        <f>Model!$B$6-(ROUND(Assumptions!$B$6*A16,0)*Assumptions!$B$8+Model!$B$9+Model!$B$10+Model!$B$11)</f>
        <v/>
      </c>
      <c r="C16" s="17">
        <f>B16/Model!$B$6</f>
        <v/>
      </c>
      <c r="E16" s="10" t="n">
        <v>275</v>
      </c>
      <c r="F16" s="10">
        <f>Assumptions!$B$6*E16-(ROUND(Assumptions!$B$6*Assumptions!$B$7,0)*E16+Model!$B$9+Model!$B$10+Model!$B$11)</f>
        <v/>
      </c>
      <c r="H16" s="10" t="n">
        <v>50</v>
      </c>
      <c r="I16" s="10">
        <f>Model!$B$6-(Model!$B$8+Assumptions!$B$6*H16+Model!$B$10+Model!$B$11)</f>
        <v/>
      </c>
      <c r="J16" s="10">
        <f>Assumptions!$B$9+Assumptions!$B$6*H16+Model!$B$11</f>
        <v/>
      </c>
    </row>
    <row r="17">
      <c r="E17" s="10" t="n">
        <v>300</v>
      </c>
      <c r="F17" s="10">
        <f>Assumptions!$B$6*E17-(ROUND(Assumptions!$B$6*Assumptions!$B$7,0)*E17+Model!$B$9+Model!$B$10+Model!$B$11)</f>
        <v/>
      </c>
    </row>
    <row r="18">
      <c r="E18" s="10" t="n">
        <v>325</v>
      </c>
      <c r="F18" s="10">
        <f>Assumptions!$B$6*E18-(ROUND(Assumptions!$B$6*Assumptions!$B$7,0)*E18+Model!$B$9+Model!$B$10+Model!$B$11)</f>
        <v/>
      </c>
    </row>
    <row r="19">
      <c r="E19" s="10" t="n">
        <v>350</v>
      </c>
      <c r="F19" s="10">
        <f>Assumptions!$B$6*E19-(ROUND(Assumptions!$B$6*Assumptions!$B$7,0)*E19+Model!$B$9+Model!$B$10+Model!$B$11)</f>
        <v/>
      </c>
    </row>
    <row r="20">
      <c r="E20" s="10" t="n">
        <v>375</v>
      </c>
      <c r="F20" s="10">
        <f>Assumptions!$B$6*E20-(ROUND(Assumptions!$B$6*Assumptions!$B$7,0)*E20+Model!$B$9+Model!$B$10+Model!$B$11)</f>
        <v/>
      </c>
    </row>
    <row r="21">
      <c r="E21" s="10" t="n">
        <v>400</v>
      </c>
      <c r="F21" s="10">
        <f>Assumptions!$B$6*E21-(ROUND(Assumptions!$B$6*Assumptions!$B$7,0)*E21+Model!$B$9+Model!$B$10+Model!$B$11)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2026-09-09T03:03:50Z</dcterms:created>
  <dcterms:modified xsi:type="dcterms:W3CDTF">2026-09-09T03:03:50Z</dcterms:modified>
</cp:coreProperties>
</file>