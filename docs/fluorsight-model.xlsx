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arts" sheetId="1" state="visible" r:id="rId1"/>
    <sheet name="Assumptions" sheetId="2" state="visible" r:id="rId2"/>
    <sheet name="Model" sheetId="3" state="visible" r:id="rId3"/>
    <sheet name="Sensitivit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£&quot;#,##0"/>
    <numFmt numFmtId="165" formatCode="0.0%"/>
  </numFmts>
  <fonts count="12">
    <font>
      <name val="Calibri"/>
      <family val="2"/>
      <color theme="1"/>
      <sz val="11"/>
      <scheme val="minor"/>
    </font>
    <font>
      <b val="1"/>
      <sz val="15"/>
    </font>
    <font>
      <i val="1"/>
      <color rgb="0052514E"/>
      <sz val="10"/>
    </font>
    <font>
      <b val="1"/>
      <color rgb="00FFFFFF"/>
      <sz val="10"/>
    </font>
    <font>
      <b val="1"/>
    </font>
    <font>
      <color rgb="0052514E"/>
      <sz val="9"/>
    </font>
    <font>
      <b val="1"/>
      <color rgb="00B45309"/>
    </font>
    <font>
      <b val="1"/>
      <sz val="12"/>
    </font>
    <font>
      <b val="1"/>
      <sz val="11"/>
    </font>
    <font>
      <b val="1"/>
      <color rgb="000B0B0B"/>
    </font>
    <font>
      <b val="1"/>
      <color rgb="000F766E"/>
    </font>
    <font>
      <b val="1"/>
      <color rgb="0052514E"/>
      <sz val="10"/>
    </font>
  </fonts>
  <fills count="4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1" fontId="4" fillId="3" borderId="1" pivotButton="0" quotePrefix="0" xfId="0"/>
    <xf numFmtId="0" fontId="5" fillId="0" borderId="0" applyAlignment="1" pivotButton="0" quotePrefix="0" xfId="0">
      <alignment vertical="top" wrapText="1"/>
    </xf>
    <xf numFmtId="9" fontId="4" fillId="3" borderId="1" pivotButton="0" quotePrefix="0" xfId="0"/>
    <xf numFmtId="164" fontId="4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0" fontId="9" fillId="0" borderId="0" pivotButton="0" quotePrefix="0" xfId="0"/>
    <xf numFmtId="164" fontId="9" fillId="0" borderId="0" pivotButton="0" quotePrefix="0" xfId="0"/>
    <xf numFmtId="0" fontId="10" fillId="0" borderId="0" pivotButton="0" quotePrefix="0" xfId="0"/>
    <xf numFmtId="164" fontId="10" fillId="0" borderId="0" pivotButton="0" quotePrefix="0" xfId="0"/>
    <xf numFmtId="165" fontId="10" fillId="0" borderId="0" pivotButton="0" quotePrefix="0" xfId="0"/>
    <xf numFmtId="165" fontId="0" fillId="0" borderId="0" pivotButton="0" quotePrefix="0" xfId="0"/>
    <xf numFmtId="0" fontId="11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50" b="1">
                <a:solidFill>
                  <a:srgbClr val="0B0B0B"/>
                </a:solidFill>
                <a:latin typeface="Calibri"/>
              </a:defRPr>
            </a:pPr>
            <a:r>
              <a:t>One 500-sample programme: £125,000 becomes £50,000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'Model'!B28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'Model'!$A$29:$A$30</f>
            </numRef>
          </cat>
          <val>
            <numRef>
              <f>'Model'!$B$29:$B$30</f>
            </numRef>
          </val>
        </ser>
        <ser>
          <idx val="1"/>
          <order val="1"/>
          <tx>
            <strRef>
              <f>'Model'!C28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'Model'!$A$29:$A$30</f>
            </numRef>
          </cat>
          <val>
            <numRef>
              <f>'Model'!$C$29:$C$30</f>
            </numRef>
          </val>
        </ser>
        <dLbls>
          <numFmt formatCode="&quot;£&quot;#,##0"/>
          <txPr>
            <a:bodyPr/>
            <a:p>
              <a:pPr>
                <a:defRPr sz="1000" b="1">
                  <a:solidFill>
                    <a:srgbClr val="FFFFFF"/>
                  </a:solidFill>
                  <a:latin typeface="Calibri"/>
                </a:defRPr>
              </a:pPr>
              <a:r>
                <a:t/>
              </a:r>
              <a:endParaRPr sz="1000"/>
            </a:p>
          </txPr>
          <showLegendKey val="0"/>
          <showVal val="1"/>
          <showCatName val="0"/>
          <showSerName val="0"/>
          <showPercent val="0"/>
          <showBubbleSize val="0"/>
        </dLbls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General" sourceLinked="0"/>
        <majorTickMark val="none"/>
        <minorTickMark val="none"/>
        <spPr>
          <a:ln w="9525">
            <a:solidFill>
              <a:srgbClr val="C9C9C4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2514E"/>
                </a:solidFill>
                <a:latin typeface="Calibri"/>
              </a:defRPr>
            </a:pPr>
            <a:r>
              <a:t/>
            </a:r>
            <a:endParaRPr sz="95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E4E4E1"/>
              </a:solidFill>
              <a:prstDash val="solid"/>
            </a:ln>
          </spPr>
        </majorGridlines>
        <title>
          <tx>
            <rich>
              <a:bodyPr rot="-5400000" vert="horz" anchor="ctr" anchorCtr="1"/>
              <a:p>
                <a:pPr>
                  <a:defRPr sz="1050" b="0">
                    <a:solidFill>
                      <a:srgbClr val="52514E"/>
                    </a:solidFill>
                    <a:latin typeface="Calibri"/>
                  </a:defRPr>
                </a:pPr>
                <a:r>
                  <a:t>Annual cost</a:t>
                </a:r>
              </a:p>
            </rich>
          </tx>
          <overlay val="0"/>
        </title>
        <numFmt formatCode="&quot;£&quot;#,##0,&quot;k&quot;" sourceLinked="0"/>
        <majorTickMark val="none"/>
        <minorTickMark val="none"/>
        <spPr>
          <a:ln w="9525">
            <a:solidFill>
              <a:srgbClr val="C9C9C4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2514E"/>
                </a:solidFill>
                <a:latin typeface="Calibri"/>
              </a:defRPr>
            </a:pPr>
            <a:r>
              <a:t/>
            </a:r>
            <a:endParaRPr sz="950"/>
          </a:p>
        </txPr>
        <crossAx val="10"/>
      </valAx>
      <spPr>
        <a:ln>
          <a:noFill/>
          <a:prstDash val="solid"/>
        </a:ln>
      </spPr>
    </plotArea>
    <legend>
      <legendPos val="b"/>
      <overlay val="0"/>
      <txPr>
        <a:bodyPr/>
        <a:p>
          <a:pPr>
            <a:defRPr sz="950" b="0">
              <a:solidFill>
                <a:srgbClr val="52514E"/>
              </a:solidFill>
              <a:latin typeface="Calibri"/>
            </a:defRPr>
          </a:pPr>
          <a:r>
            <a:t/>
          </a:r>
          <a:endParaRPr sz="950"/>
        </a:p>
      </txPr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50" b="1">
                <a:solidFill>
                  <a:srgbClr val="0B0B0B"/>
                </a:solidFill>
                <a:latin typeface="Calibri"/>
              </a:defRPr>
            </a:pPr>
            <a:r>
              <a:t>Triage pays until about 80% of screened samples escalate</a:t>
            </a:r>
          </a:p>
        </rich>
      </tx>
    </title>
    <plotArea>
      <lineChart>
        <grouping val="standard"/>
        <ser>
          <idx val="0"/>
          <order val="0"/>
          <tx>
            <strRef>
              <f>'Sensitivity'!C5</f>
            </strRef>
          </tx>
          <spPr>
            <a:ln w="2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'Sensitivity'!$A$6:$A$24</f>
            </numRef>
          </cat>
          <val>
            <numRef>
              <f>'Sensitivity'!$C$6:$C$24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rot="0" vert="horz" anchor="ctr" anchorCtr="1"/>
              <a:p>
                <a:pPr>
                  <a:defRPr sz="1050" b="0">
                    <a:solidFill>
                      <a:srgbClr val="52514E"/>
                    </a:solidFill>
                    <a:latin typeface="Calibri"/>
                  </a:defRPr>
                </a:pPr>
                <a:r>
                  <a:t>Share of screened samples sent to the lab</a:t>
                </a:r>
              </a:p>
            </rich>
          </tx>
          <overlay val="0"/>
        </title>
        <numFmt formatCode="0%" sourceLinked="0"/>
        <majorTickMark val="none"/>
        <minorTickMark val="none"/>
        <spPr>
          <a:ln w="9525">
            <a:solidFill>
              <a:srgbClr val="C9C9C4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2514E"/>
                </a:solidFill>
                <a:latin typeface="Calibri"/>
              </a:defRPr>
            </a:pPr>
            <a:r>
              <a:t/>
            </a:r>
            <a:endParaRPr sz="95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E4E4E1"/>
              </a:solidFill>
              <a:prstDash val="solid"/>
            </a:ln>
          </spPr>
        </majorGridlines>
        <title>
          <tx>
            <rich>
              <a:bodyPr rot="-5400000" vert="horz" anchor="ctr" anchorCtr="1"/>
              <a:p>
                <a:pPr>
                  <a:defRPr sz="1050" b="0">
                    <a:solidFill>
                      <a:srgbClr val="52514E"/>
                    </a:solidFill>
                    <a:latin typeface="Calibri"/>
                  </a:defRPr>
                </a:pPr>
                <a:r>
                  <a:t>Customer saving</a:t>
                </a:r>
              </a:p>
            </rich>
          </tx>
          <overlay val="0"/>
        </title>
        <numFmt formatCode="0%" sourceLinked="0"/>
        <majorTickMark val="none"/>
        <minorTickMark val="none"/>
        <spPr>
          <a:ln w="9525">
            <a:solidFill>
              <a:srgbClr val="C9C9C4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2514E"/>
                </a:solidFill>
                <a:latin typeface="Calibri"/>
              </a:defRPr>
            </a:pPr>
            <a:r>
              <a:t/>
            </a:r>
            <a:endParaRPr sz="950"/>
          </a:p>
        </txPr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50" b="1">
                <a:solidFill>
                  <a:srgbClr val="0B0B0B"/>
                </a:solidFill>
                <a:latin typeface="Calibri"/>
              </a:defRPr>
            </a:pPr>
            <a:r>
              <a:t>Triage stops paying only below ~£63 a sample. We assume £250.</a:t>
            </a:r>
          </a:p>
        </rich>
      </tx>
    </title>
    <plotArea>
      <lineChart>
        <grouping val="standard"/>
        <ser>
          <idx val="0"/>
          <order val="0"/>
          <tx>
            <strRef>
              <f>'Sensitivity'!F5</f>
            </strRef>
          </tx>
          <spPr>
            <a:ln w="2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'Sensitivity'!$E$6:$E$21</f>
            </numRef>
          </cat>
          <val>
            <numRef>
              <f>'Sensitivity'!$F$6:$F$21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rot="0" vert="horz" anchor="ctr" anchorCtr="1"/>
              <a:p>
                <a:pPr>
                  <a:defRPr sz="1050" b="0">
                    <a:solidFill>
                      <a:srgbClr val="52514E"/>
                    </a:solidFill>
                    <a:latin typeface="Calibri"/>
                  </a:defRPr>
                </a:pPr>
                <a:r>
                  <a:t>What the laboratory charges per sample</a:t>
                </a:r>
              </a:p>
            </rich>
          </tx>
          <overlay val="0"/>
        </title>
        <numFmt formatCode="&quot;£&quot;#,##0" sourceLinked="0"/>
        <majorTickMark val="none"/>
        <minorTickMark val="none"/>
        <spPr>
          <a:ln w="9525">
            <a:solidFill>
              <a:srgbClr val="C9C9C4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2514E"/>
                </a:solidFill>
                <a:latin typeface="Calibri"/>
              </a:defRPr>
            </a:pPr>
            <a:r>
              <a:t/>
            </a:r>
            <a:endParaRPr sz="95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E4E4E1"/>
              </a:solidFill>
              <a:prstDash val="solid"/>
            </a:ln>
          </spPr>
        </majorGridlines>
        <title>
          <tx>
            <rich>
              <a:bodyPr rot="-5400000" vert="horz" anchor="ctr" anchorCtr="1"/>
              <a:p>
                <a:pPr>
                  <a:defRPr sz="1050" b="0">
                    <a:solidFill>
                      <a:srgbClr val="52514E"/>
                    </a:solidFill>
                    <a:latin typeface="Calibri"/>
                  </a:defRPr>
                </a:pPr>
                <a:r>
                  <a:t>Net saving</a:t>
                </a:r>
              </a:p>
            </rich>
          </tx>
          <overlay val="0"/>
        </title>
        <numFmt formatCode="&quot;£&quot;#,##0,&quot;k&quot;" sourceLinked="0"/>
        <majorTickMark val="none"/>
        <minorTickMark val="none"/>
        <spPr>
          <a:ln w="9525">
            <a:solidFill>
              <a:srgbClr val="C9C9C4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2514E"/>
                </a:solidFill>
                <a:latin typeface="Calibri"/>
              </a:defRPr>
            </a:pPr>
            <a:r>
              <a:t/>
            </a:r>
            <a:endParaRPr sz="950"/>
          </a:p>
        </txPr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50" b="1">
                <a:solidFill>
                  <a:srgbClr val="0B0B0B"/>
                </a:solidFill>
                <a:latin typeface="Calibri"/>
              </a:defRPr>
            </a:pPr>
            <a:r>
              <a:t>Tiers hold the saving at every customer size</a:t>
            </a:r>
          </a:p>
        </rich>
      </tx>
    </title>
    <plotArea>
      <lineChart>
        <grouping val="standard"/>
        <ser>
          <idx val="0"/>
          <order val="0"/>
          <tx>
            <strRef>
              <f>'Sensitivity'!J5</f>
            </strRef>
          </tx>
          <spPr>
            <a:ln w="2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'Sensitivity'!$H$6:$H$15</f>
            </numRef>
          </cat>
          <val>
            <numRef>
              <f>'Sensitivity'!$J$6:$J$15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rot="0" vert="horz" anchor="ctr" anchorCtr="1"/>
              <a:p>
                <a:pPr>
                  <a:defRPr sz="1050" b="0">
                    <a:solidFill>
                      <a:srgbClr val="52514E"/>
                    </a:solidFill>
                    <a:latin typeface="Calibri"/>
                  </a:defRPr>
                </a:pPr>
                <a:r>
                  <a:t>Customer's annual sample volume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w="9525">
            <a:solidFill>
              <a:srgbClr val="C9C9C4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2514E"/>
                </a:solidFill>
                <a:latin typeface="Calibri"/>
              </a:defRPr>
            </a:pPr>
            <a:r>
              <a:t/>
            </a:r>
            <a:endParaRPr sz="95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E4E4E1"/>
              </a:solidFill>
              <a:prstDash val="solid"/>
            </a:ln>
          </spPr>
        </majorGridlines>
        <title>
          <tx>
            <rich>
              <a:bodyPr rot="-5400000" vert="horz" anchor="ctr" anchorCtr="1"/>
              <a:p>
                <a:pPr>
                  <a:defRPr sz="1050" b="0">
                    <a:solidFill>
                      <a:srgbClr val="52514E"/>
                    </a:solidFill>
                    <a:latin typeface="Calibri"/>
                  </a:defRPr>
                </a:pPr>
                <a:r>
                  <a:t>Customer saving</a:t>
                </a:r>
              </a:p>
            </rich>
          </tx>
          <overlay val="0"/>
        </title>
        <numFmt formatCode="0%" sourceLinked="0"/>
        <majorTickMark val="none"/>
        <minorTickMark val="none"/>
        <spPr>
          <a:ln w="9525">
            <a:solidFill>
              <a:srgbClr val="C9C9C4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2514E"/>
                </a:solidFill>
                <a:latin typeface="Calibri"/>
              </a:defRPr>
            </a:pPr>
            <a:r>
              <a:t/>
            </a:r>
            <a:endParaRPr sz="950"/>
          </a:p>
        </txPr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</row>
      <rowOff>0</rowOff>
    </from>
    <ext cx="594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3</row>
      <rowOff>0</rowOff>
    </from>
    <ext cx="594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21</row>
      <rowOff>0</rowOff>
    </from>
    <ext cx="5940000" cy="34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21</row>
      <rowOff>0</rowOff>
    </from>
    <ext cx="5940000" cy="34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" customWidth="1" min="1" max="1"/>
  </cols>
  <sheetData>
    <row r="1">
      <c r="A1" s="1" t="inlineStr">
        <is>
          <t>Charts — copy any of these straight into PowerPoint</t>
        </is>
      </c>
    </row>
    <row r="2">
      <c r="A2" s="2" t="inlineStr">
        <is>
          <t>Right-click → Copy, paste into a slide. They stay linked, so changing an assumption updates the slide. Freeze them as pictures before the final export.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6" customWidth="1" min="3" max="3"/>
    <col width="13" customWidth="1" min="4" max="4"/>
    <col width="72" customWidth="1" min="5" max="5"/>
  </cols>
  <sheetData>
    <row r="1">
      <c r="A1" s="1" t="inlineStr">
        <is>
          <t>Fluorsight — business model assumptions</t>
        </is>
      </c>
    </row>
    <row r="2">
      <c r="A2" s="2" t="inlineStr">
        <is>
          <t>Change any yellow cell. Everything else in the workbook is a formula and will follow.</t>
        </is>
      </c>
    </row>
    <row r="5">
      <c r="A5" s="3" t="inlineStr">
        <is>
          <t>Input</t>
        </is>
      </c>
      <c r="B5" s="3" t="inlineStr">
        <is>
          <t>Value</t>
        </is>
      </c>
      <c r="C5" s="3" t="inlineStr">
        <is>
          <t>Unit</t>
        </is>
      </c>
      <c r="D5" s="3" t="inlineStr">
        <is>
          <t>Status</t>
        </is>
      </c>
      <c r="E5" s="3" t="inlineStr">
        <is>
          <t>Where it comes from</t>
        </is>
      </c>
    </row>
    <row r="6">
      <c r="A6" t="inlineStr">
        <is>
          <t>Portfolio size</t>
        </is>
      </c>
      <c r="B6" s="4" t="n">
        <v>500</v>
      </c>
      <c r="C6" t="inlineStr">
        <is>
          <t>samples / year</t>
        </is>
      </c>
      <c r="D6" t="inlineStr">
        <is>
          <t>MODELLED</t>
        </is>
      </c>
      <c r="E6" s="5" t="inlineStr">
        <is>
          <t>Illustrative annual programme for one customer. Our choice.</t>
        </is>
      </c>
    </row>
    <row r="7">
      <c r="A7" t="inlineStr">
        <is>
          <t>Escalation rate</t>
        </is>
      </c>
      <c r="B7" s="6" t="n">
        <v>0.2</v>
      </c>
      <c r="C7" t="inlineStr">
        <is>
          <t>share screened</t>
        </is>
      </c>
      <c r="D7" t="inlineStr">
        <is>
          <t>MODELLED</t>
        </is>
      </c>
      <c r="E7" s="5" t="inlineStr">
        <is>
          <t>The weakest assumption in the model. Sensitivity table A.</t>
        </is>
      </c>
    </row>
    <row r="8">
      <c r="A8" t="inlineStr">
        <is>
          <t>Lab cost per sample</t>
        </is>
      </c>
      <c r="B8" s="7" t="n">
        <v>250</v>
      </c>
      <c r="C8" t="inlineStr">
        <is>
          <t>£ / sample</t>
        </is>
      </c>
      <c r="D8" t="inlineStr">
        <is>
          <t>MODELLED</t>
        </is>
      </c>
      <c r="E8" s="5" t="inlineStr">
        <is>
          <t>No UK lab publishes a rate card — 7 providers' published pricing checked, all quote on request.</t>
        </is>
      </c>
    </row>
    <row r="9">
      <c r="A9" t="inlineStr">
        <is>
          <t>Refill cost to us</t>
        </is>
      </c>
      <c r="B9" s="7" t="n">
        <v>1</v>
      </c>
      <c r="C9" t="inlineStr">
        <is>
          <t>£ / sample</t>
        </is>
      </c>
      <c r="D9" t="inlineStr">
        <is>
          <t>MODELLED</t>
        </is>
      </c>
      <c r="E9" s="5" t="inlineStr">
        <is>
          <t>Dom &amp; Evan build costing, Sept 2026. Rounded up — their estimate was nearer 50p.</t>
        </is>
      </c>
    </row>
    <row r="10">
      <c r="A10" t="inlineStr">
        <is>
          <t>Device cost to us</t>
        </is>
      </c>
      <c r="B10" s="7" t="n">
        <v>40</v>
      </c>
      <c r="C10" t="inlineStr">
        <is>
          <t>£ / device</t>
        </is>
      </c>
      <c r="D10" t="inlineStr">
        <is>
          <t>MODELLED</t>
        </is>
      </c>
      <c r="E10" s="5" t="inlineStr">
        <is>
          <t>Dom &amp; Evan build costing, Sept 2026.</t>
        </is>
      </c>
    </row>
    <row r="11">
      <c r="A11" t="inlineStr">
        <is>
          <t>Device price to customer</t>
        </is>
      </c>
      <c r="B11" s="7" t="n">
        <v>150</v>
      </c>
      <c r="C11" t="inlineStr">
        <is>
          <t>£ / device</t>
        </is>
      </c>
      <c r="D11" s="8" t="inlineStr">
        <is>
          <t>ASSUMED</t>
        </is>
      </c>
      <c r="E11" s="5" t="inlineStr">
        <is>
          <t>PLACEHOLDER — no pricing decision has been made.</t>
        </is>
      </c>
    </row>
    <row r="12">
      <c r="A12" t="inlineStr">
        <is>
          <t>Devices per customer</t>
        </is>
      </c>
      <c r="B12" s="4" t="n">
        <v>1</v>
      </c>
      <c r="C12" t="inlineStr">
        <is>
          <t>devices</t>
        </is>
      </c>
      <c r="D12" s="8" t="inlineStr">
        <is>
          <t>ASSUMED</t>
        </is>
      </c>
      <c r="E12" s="5" t="inlineStr">
        <is>
          <t>PLACEHOLDER — one reader per customer. A field team may need several.</t>
        </is>
      </c>
    </row>
    <row r="13">
      <c r="A13" t="inlineStr">
        <is>
          <t>Overage per screen above tier</t>
        </is>
      </c>
      <c r="B13" s="7" t="n">
        <v>50</v>
      </c>
      <c r="C13" t="inlineStr">
        <is>
          <t>£ / sample</t>
        </is>
      </c>
      <c r="D13" t="inlineStr">
        <is>
          <t>MODELLED</t>
        </is>
      </c>
      <c r="E13" s="5" t="inlineStr">
        <is>
          <t>Charged on screens beyond a tier's allowance, so nobody falls off a cliff between tiers.</t>
        </is>
      </c>
    </row>
    <row r="16">
      <c r="A16" s="9" t="inlineStr">
        <is>
          <t>Pricing — tiers</t>
        </is>
      </c>
    </row>
    <row r="17">
      <c r="A17" s="5" t="inlineStr">
        <is>
          <t>A customer pays the largest tier their volume reaches, plus overage on anything above it. Priced at a flat ~£50 a screen, which holds the saving above 55% from 25 samples a year to 1,000.</t>
        </is>
      </c>
    </row>
    <row r="18">
      <c r="A18" s="3" t="inlineStr">
        <is>
          <t>Tier</t>
        </is>
      </c>
      <c r="B18" s="3" t="inlineStr">
        <is>
          <t>Screens included</t>
        </is>
      </c>
      <c r="C18" s="3" t="inlineStr">
        <is>
          <t>Annual price</t>
        </is>
      </c>
    </row>
    <row r="19">
      <c r="A19" t="inlineStr">
        <is>
          <t>Pay as you go</t>
        </is>
      </c>
      <c r="B19" s="4" t="n">
        <v>0</v>
      </c>
      <c r="C19" s="7" t="n">
        <v>0</v>
      </c>
    </row>
    <row r="20">
      <c r="A20" t="inlineStr">
        <is>
          <t>Starter</t>
        </is>
      </c>
      <c r="B20" s="4" t="n">
        <v>25</v>
      </c>
      <c r="C20" s="7" t="n">
        <v>1250</v>
      </c>
    </row>
    <row r="21">
      <c r="A21" t="inlineStr">
        <is>
          <t>Small</t>
        </is>
      </c>
      <c r="B21" s="4" t="n">
        <v>50</v>
      </c>
      <c r="C21" s="7" t="n">
        <v>2500</v>
      </c>
    </row>
    <row r="22">
      <c r="A22" t="inlineStr">
        <is>
          <t>Standard</t>
        </is>
      </c>
      <c r="B22" s="4" t="n">
        <v>100</v>
      </c>
      <c r="C22" s="7" t="n">
        <v>5000</v>
      </c>
    </row>
    <row r="23">
      <c r="A23" t="inlineStr">
        <is>
          <t>Programme</t>
        </is>
      </c>
      <c r="B23" s="4" t="n">
        <v>200</v>
      </c>
      <c r="C23" s="7" t="n">
        <v>10000</v>
      </c>
    </row>
    <row r="24">
      <c r="A24" t="inlineStr">
        <is>
          <t>Enterprise</t>
        </is>
      </c>
      <c r="B24" s="4" t="n">
        <v>500</v>
      </c>
      <c r="C24" s="7" t="n">
        <v>25000</v>
      </c>
    </row>
    <row r="27">
      <c r="A27" s="10" t="inlineStr">
        <is>
          <t>Reference — context, not inputs</t>
        </is>
      </c>
    </row>
    <row r="28">
      <c r="A28" t="inlineStr">
        <is>
          <t>Lab turnaround</t>
        </is>
      </c>
      <c r="B28" t="inlineStr">
        <is>
          <t>10–15 working days</t>
        </is>
      </c>
      <c r="D28" t="inlineStr">
        <is>
          <t>PUBLISHED</t>
        </is>
      </c>
      <c r="E28" s="5" t="inlineStr">
        <is>
          <t>SOCOTEC UK PFAS page, checked Sept 2026.</t>
        </is>
      </c>
    </row>
    <row r="29">
      <c r="A29" t="inlineStr">
        <is>
          <t>Published water price (Finland)</t>
        </is>
      </c>
      <c r="B29" t="inlineStr">
        <is>
          <t>€175–300 / sample</t>
        </is>
      </c>
      <c r="D29" t="inlineStr">
        <is>
          <t>PUBLISHED</t>
        </is>
      </c>
      <c r="E29" s="5" t="inlineStr">
        <is>
          <t>Measurlabs list price. Not UK, not like-for-like scope.</t>
        </is>
      </c>
    </row>
    <row r="30">
      <c r="A30" t="inlineStr">
        <is>
          <t>Nearest published UK figure</t>
        </is>
      </c>
      <c r="B30" t="inlineStr">
        <is>
          <t>£350 / sample</t>
        </is>
      </c>
      <c r="D30" t="inlineStr">
        <is>
          <t>PUBLISHED</t>
        </is>
      </c>
      <c r="E30" s="5" t="inlineStr">
        <is>
          <t>EIA to Commons EAC, May 2025 — SOIL, explicitly excludes water. Does NOT validate the £250.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72" customWidth="1" min="3" max="3"/>
  </cols>
  <sheetData>
    <row r="1">
      <c r="A1" s="1" t="inlineStr">
        <is>
          <t>The model — one customer, one year</t>
        </is>
      </c>
    </row>
    <row r="2">
      <c r="A2" s="2" t="inlineStr">
        <is>
          <t>Every cell is a formula off the Assumptions sheet.</t>
        </is>
      </c>
    </row>
    <row r="5">
      <c r="A5" s="3" t="inlineStr">
        <is>
          <t>What the customer pays</t>
        </is>
      </c>
      <c r="B5" s="3" t="n"/>
      <c r="C5" s="3" t="n"/>
    </row>
    <row r="6">
      <c r="A6" t="inlineStr">
        <is>
          <t>Testing everything at the lab</t>
        </is>
      </c>
      <c r="B6" s="11">
        <f>Assumptions!B6*Assumptions!B8</f>
        <v/>
      </c>
      <c r="C6" s="5" t="inlineStr">
        <is>
          <t>The do-nothing baseline: portfolio × lab cost.</t>
        </is>
      </c>
    </row>
    <row r="7">
      <c r="A7" t="inlineStr">
        <is>
          <t>Samples escalated to the lab</t>
        </is>
      </c>
      <c r="B7" s="12">
        <f>ROUND(Assumptions!B6*Assumptions!B7,0)</f>
        <v/>
      </c>
    </row>
    <row r="8">
      <c r="A8" t="inlineStr">
        <is>
          <t xml:space="preserve">  Lab spend under triage</t>
        </is>
      </c>
      <c r="B8" s="11">
        <f>B7*Assumptions!B8</f>
        <v/>
      </c>
    </row>
    <row r="9">
      <c r="A9" t="inlineStr">
        <is>
          <t xml:space="preserve">  Fluorsight tier</t>
        </is>
      </c>
      <c r="B9" s="11">
        <f>INDEX(Assumptions!$C$19:$C$24,MATCH(Assumptions!$B$6,Assumptions!$B$19:$B$24,1))+MAX(0,Assumptions!$B$6-INDEX(Assumptions!$B$19:$B$24,MATCH(Assumptions!$B$6,Assumptions!$B$19:$B$24,1)))*Assumptions!$B$13</f>
        <v/>
      </c>
      <c r="C9" s="5" t="inlineStr">
        <is>
          <t>Tier price, plus overage on any screens above the tier's allowance.</t>
        </is>
      </c>
    </row>
    <row r="10">
      <c r="A10" t="inlineStr">
        <is>
          <t xml:space="preserve">  Device</t>
        </is>
      </c>
      <c r="B10" s="11">
        <f>Assumptions!$B$11*Assumptions!$B$12</f>
        <v/>
      </c>
      <c r="C10" s="5" t="inlineStr">
        <is>
          <t>One-off. A durable reader, not a per-year cost.</t>
        </is>
      </c>
    </row>
    <row r="11">
      <c r="A11" s="13" t="inlineStr">
        <is>
          <t>Total with Fluorsight</t>
        </is>
      </c>
      <c r="B11" s="14">
        <f>B8+B9+B10</f>
        <v/>
      </c>
    </row>
    <row r="12">
      <c r="A12" s="15" t="inlineStr">
        <is>
          <t>Customer saving</t>
        </is>
      </c>
      <c r="B12" s="16">
        <f>B6-B11</f>
        <v/>
      </c>
    </row>
    <row r="13">
      <c r="A13" s="15" t="inlineStr">
        <is>
          <t>Saving as a share</t>
        </is>
      </c>
      <c r="B13" s="17">
        <f>B12/B6</f>
        <v/>
      </c>
    </row>
    <row r="15">
      <c r="A15" s="3" t="inlineStr">
        <is>
          <t>What it means for us</t>
        </is>
      </c>
      <c r="B15" s="3" t="n"/>
      <c r="C15" s="3" t="n"/>
    </row>
    <row r="16">
      <c r="A16" t="inlineStr">
        <is>
          <t>Revenue</t>
        </is>
      </c>
      <c r="B16" s="11">
        <f>B9+B10</f>
        <v/>
      </c>
      <c r="C16" s="5" t="inlineStr">
        <is>
          <t>The tier plus the device. Nothing else is charged.</t>
        </is>
      </c>
    </row>
    <row r="17">
      <c r="A17" t="inlineStr">
        <is>
          <t>Cost of goods</t>
        </is>
      </c>
      <c r="B17" s="11">
        <f>Assumptions!B6*Assumptions!B9+Assumptions!B12*Assumptions!B10</f>
        <v/>
      </c>
      <c r="C17" s="5" t="inlineStr">
        <is>
          <t>Refills plus devices, at our cost.</t>
        </is>
      </c>
    </row>
    <row r="18">
      <c r="A18" s="13" t="inlineStr">
        <is>
          <t>Gross profit</t>
        </is>
      </c>
      <c r="B18" s="14">
        <f>B16-B17</f>
        <v/>
      </c>
    </row>
    <row r="19">
      <c r="A19" t="inlineStr">
        <is>
          <t>Gross margin</t>
        </is>
      </c>
      <c r="B19" s="18">
        <f>B18/B16</f>
        <v/>
      </c>
    </row>
    <row r="20">
      <c r="A20" t="inlineStr">
        <is>
          <t>What we charge per screen</t>
        </is>
      </c>
      <c r="B20" s="11">
        <f>B9/Assumptions!B6</f>
        <v/>
      </c>
      <c r="C20" s="5" t="inlineStr">
        <is>
          <t>The tier expressed per screen — the number to compare against the lab's per-sample price.</t>
        </is>
      </c>
    </row>
    <row r="22">
      <c r="A22" s="3" t="inlineStr">
        <is>
          <t>Where it stops working</t>
        </is>
      </c>
      <c r="B22" s="3" t="n"/>
      <c r="C22" s="3" t="n"/>
    </row>
    <row r="23">
      <c r="A23" t="inlineStr">
        <is>
          <t>Break-even lab cost</t>
        </is>
      </c>
      <c r="B23" s="11">
        <f>B16/(Assumptions!B6*(1-Assumptions!B7))</f>
        <v/>
      </c>
      <c r="C23" s="5" t="inlineStr">
        <is>
          <t>Triage stops paying if lab analysis falls below this. We assume £250.</t>
        </is>
      </c>
    </row>
    <row r="24">
      <c r="A24" t="inlineStr">
        <is>
          <t>Break-even escalation rate</t>
        </is>
      </c>
      <c r="B24" s="18">
        <f>1-B16/(Assumptions!B6*Assumptions!B8)</f>
        <v/>
      </c>
      <c r="C24" s="5" t="inlineStr">
        <is>
          <t>Above this share escalating, triage costs more than it saves. We assume 20%.</t>
        </is>
      </c>
    </row>
    <row r="27">
      <c r="A27" s="19" t="inlineStr">
        <is>
          <t>Chart data — cost comparison</t>
        </is>
      </c>
    </row>
    <row r="28">
      <c r="A28" t="inlineStr"/>
      <c r="B28" t="inlineStr">
        <is>
          <t>Lab analysis</t>
        </is>
      </c>
      <c r="C28" t="inlineStr">
        <is>
          <t>Fluorsight</t>
        </is>
      </c>
    </row>
    <row r="29">
      <c r="A29" t="inlineStr">
        <is>
          <t>Test everything</t>
        </is>
      </c>
      <c r="B29" s="11">
        <f>B6</f>
        <v/>
      </c>
      <c r="C29" s="11" t="n"/>
    </row>
    <row r="30">
      <c r="A30" t="inlineStr">
        <is>
          <t>With Fluorsight</t>
        </is>
      </c>
      <c r="B30" s="11">
        <f>B8</f>
        <v/>
      </c>
      <c r="C30" s="11">
        <f>B9+B10</f>
        <v/>
      </c>
      <c r="D30" s="5" t="inlineStr">
        <is>
          <t>Two segments only: what has to survive being read from the back of a room is that half the remaining spend is still the laboratory.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RowHeight="15"/>
  <cols>
    <col width="16" customWidth="1" min="1" max="1"/>
    <col width="19" customWidth="1" min="2" max="2"/>
    <col width="11" customWidth="1" min="3" max="3"/>
    <col width="3" customWidth="1" min="4" max="4"/>
    <col width="19" customWidth="1" min="5" max="5"/>
    <col width="17" customWidth="1" min="6" max="6"/>
    <col width="3" customWidth="1" min="7" max="7"/>
    <col width="15" customWidth="1" min="8" max="8"/>
    <col width="17" customWidth="1" min="9" max="9"/>
    <col width="13" customWidth="1" min="10" max="10"/>
    <col width="19" customWidth="1" min="11" max="11"/>
  </cols>
  <sheetData>
    <row r="1">
      <c r="A1" s="1" t="inlineStr">
        <is>
          <t>Sensitivity — what happens when the assumptions are wrong</t>
        </is>
      </c>
    </row>
    <row r="2">
      <c r="A2" s="2" t="inlineStr">
        <is>
          <t>All live off the Assumptions sheet. These tables feed the charts.</t>
        </is>
      </c>
    </row>
    <row r="4">
      <c r="A4" s="10" t="inlineStr">
        <is>
          <t>A · If more samples escalate than we assume</t>
        </is>
      </c>
      <c r="E4" s="10" t="inlineStr">
        <is>
          <t>B · Break-even — how cheap would the lab have to get?</t>
        </is>
      </c>
      <c r="H4" s="10" t="inlineStr">
        <is>
          <t>C · Does the saving hold at every customer size?</t>
        </is>
      </c>
    </row>
    <row r="5">
      <c r="A5" s="3" t="inlineStr">
        <is>
          <t>Escalation rate</t>
        </is>
      </c>
      <c r="B5" s="3" t="inlineStr">
        <is>
          <t>Customer saving (£)</t>
        </is>
      </c>
      <c r="C5" s="3" t="inlineStr">
        <is>
          <t>Saving (%)</t>
        </is>
      </c>
      <c r="E5" s="3" t="inlineStr">
        <is>
          <t>Lab cost (£/sample)</t>
        </is>
      </c>
      <c r="F5" s="3" t="inlineStr">
        <is>
          <t>Net saving (£)</t>
        </is>
      </c>
      <c r="H5" s="3" t="inlineStr">
        <is>
          <t>Samples / year</t>
        </is>
      </c>
      <c r="I5" s="3" t="inlineStr">
        <is>
          <t>Tier + device (£)</t>
        </is>
      </c>
      <c r="J5" s="3" t="inlineStr">
        <is>
          <t>Saving (%)</t>
        </is>
      </c>
      <c r="K5" s="3" t="inlineStr">
        <is>
          <t>We charge (£/screen)</t>
        </is>
      </c>
    </row>
    <row r="6">
      <c r="A6" s="20" t="n">
        <v>0.05</v>
      </c>
      <c r="B6" s="11">
        <f>Model!$B$6-(ROUND(Assumptions!$B$6*A6,0)*Assumptions!$B$8+Model!$B$16)</f>
        <v/>
      </c>
      <c r="C6" s="18">
        <f>B6/Model!$B$6</f>
        <v/>
      </c>
      <c r="E6" s="11" t="n">
        <v>25</v>
      </c>
      <c r="F6" s="11">
        <f>Assumptions!$B$6*E6-(ROUND(Assumptions!$B$6*Assumptions!$B$7,0)*E6+Model!$B$16)</f>
        <v/>
      </c>
      <c r="H6" t="n">
        <v>25</v>
      </c>
      <c r="I6" s="11">
        <f>INDEX(Assumptions!$C$19:$C$24,MATCH(H6,Assumptions!$B$19:$B$24,1))+MAX(0,H6-INDEX(Assumptions!$B$19:$B$24,MATCH(H6,Assumptions!$B$19:$B$24,1)))*Assumptions!$B$13+Assumptions!$B$11*Assumptions!$B$12</f>
        <v/>
      </c>
      <c r="J6" s="18">
        <f>(H6*Assumptions!$B$8-(ROUND(H6*Assumptions!$B$7,0)*Assumptions!$B$8+I6))/(H6*Assumptions!$B$8)</f>
        <v/>
      </c>
      <c r="K6" s="11">
        <f>I6/H6</f>
        <v/>
      </c>
    </row>
    <row r="7">
      <c r="A7" s="20" t="n">
        <v>0.1</v>
      </c>
      <c r="B7" s="11">
        <f>Model!$B$6-(ROUND(Assumptions!$B$6*A7,0)*Assumptions!$B$8+Model!$B$16)</f>
        <v/>
      </c>
      <c r="C7" s="18">
        <f>B7/Model!$B$6</f>
        <v/>
      </c>
      <c r="E7" s="11" t="n">
        <v>50</v>
      </c>
      <c r="F7" s="11">
        <f>Assumptions!$B$6*E7-(ROUND(Assumptions!$B$6*Assumptions!$B$7,0)*E7+Model!$B$16)</f>
        <v/>
      </c>
      <c r="H7" t="n">
        <v>50</v>
      </c>
      <c r="I7" s="11">
        <f>INDEX(Assumptions!$C$19:$C$24,MATCH(H7,Assumptions!$B$19:$B$24,1))+MAX(0,H7-INDEX(Assumptions!$B$19:$B$24,MATCH(H7,Assumptions!$B$19:$B$24,1)))*Assumptions!$B$13+Assumptions!$B$11*Assumptions!$B$12</f>
        <v/>
      </c>
      <c r="J7" s="18">
        <f>(H7*Assumptions!$B$8-(ROUND(H7*Assumptions!$B$7,0)*Assumptions!$B$8+I7))/(H7*Assumptions!$B$8)</f>
        <v/>
      </c>
      <c r="K7" s="11">
        <f>I7/H7</f>
        <v/>
      </c>
    </row>
    <row r="8">
      <c r="A8" s="20" t="n">
        <v>0.15</v>
      </c>
      <c r="B8" s="11">
        <f>Model!$B$6-(ROUND(Assumptions!$B$6*A8,0)*Assumptions!$B$8+Model!$B$16)</f>
        <v/>
      </c>
      <c r="C8" s="18">
        <f>B8/Model!$B$6</f>
        <v/>
      </c>
      <c r="E8" s="11" t="n">
        <v>75</v>
      </c>
      <c r="F8" s="11">
        <f>Assumptions!$B$6*E8-(ROUND(Assumptions!$B$6*Assumptions!$B$7,0)*E8+Model!$B$16)</f>
        <v/>
      </c>
      <c r="H8" t="n">
        <v>75</v>
      </c>
      <c r="I8" s="11">
        <f>INDEX(Assumptions!$C$19:$C$24,MATCH(H8,Assumptions!$B$19:$B$24,1))+MAX(0,H8-INDEX(Assumptions!$B$19:$B$24,MATCH(H8,Assumptions!$B$19:$B$24,1)))*Assumptions!$B$13+Assumptions!$B$11*Assumptions!$B$12</f>
        <v/>
      </c>
      <c r="J8" s="18">
        <f>(H8*Assumptions!$B$8-(ROUND(H8*Assumptions!$B$7,0)*Assumptions!$B$8+I8))/(H8*Assumptions!$B$8)</f>
        <v/>
      </c>
      <c r="K8" s="11">
        <f>I8/H8</f>
        <v/>
      </c>
    </row>
    <row r="9">
      <c r="A9" s="20" t="n">
        <v>0.2</v>
      </c>
      <c r="B9" s="11">
        <f>Model!$B$6-(ROUND(Assumptions!$B$6*A9,0)*Assumptions!$B$8+Model!$B$16)</f>
        <v/>
      </c>
      <c r="C9" s="18">
        <f>B9/Model!$B$6</f>
        <v/>
      </c>
      <c r="E9" s="11" t="n">
        <v>100</v>
      </c>
      <c r="F9" s="11">
        <f>Assumptions!$B$6*E9-(ROUND(Assumptions!$B$6*Assumptions!$B$7,0)*E9+Model!$B$16)</f>
        <v/>
      </c>
      <c r="H9" t="n">
        <v>100</v>
      </c>
      <c r="I9" s="11">
        <f>INDEX(Assumptions!$C$19:$C$24,MATCH(H9,Assumptions!$B$19:$B$24,1))+MAX(0,H9-INDEX(Assumptions!$B$19:$B$24,MATCH(H9,Assumptions!$B$19:$B$24,1)))*Assumptions!$B$13+Assumptions!$B$11*Assumptions!$B$12</f>
        <v/>
      </c>
      <c r="J9" s="18">
        <f>(H9*Assumptions!$B$8-(ROUND(H9*Assumptions!$B$7,0)*Assumptions!$B$8+I9))/(H9*Assumptions!$B$8)</f>
        <v/>
      </c>
      <c r="K9" s="11">
        <f>I9/H9</f>
        <v/>
      </c>
    </row>
    <row r="10">
      <c r="A10" s="20" t="n">
        <v>0.25</v>
      </c>
      <c r="B10" s="11">
        <f>Model!$B$6-(ROUND(Assumptions!$B$6*A10,0)*Assumptions!$B$8+Model!$B$16)</f>
        <v/>
      </c>
      <c r="C10" s="18">
        <f>B10/Model!$B$6</f>
        <v/>
      </c>
      <c r="E10" s="11" t="n">
        <v>125</v>
      </c>
      <c r="F10" s="11">
        <f>Assumptions!$B$6*E10-(ROUND(Assumptions!$B$6*Assumptions!$B$7,0)*E10+Model!$B$16)</f>
        <v/>
      </c>
      <c r="H10" t="n">
        <v>150</v>
      </c>
      <c r="I10" s="11">
        <f>INDEX(Assumptions!$C$19:$C$24,MATCH(H10,Assumptions!$B$19:$B$24,1))+MAX(0,H10-INDEX(Assumptions!$B$19:$B$24,MATCH(H10,Assumptions!$B$19:$B$24,1)))*Assumptions!$B$13+Assumptions!$B$11*Assumptions!$B$12</f>
        <v/>
      </c>
      <c r="J10" s="18">
        <f>(H10*Assumptions!$B$8-(ROUND(H10*Assumptions!$B$7,0)*Assumptions!$B$8+I10))/(H10*Assumptions!$B$8)</f>
        <v/>
      </c>
      <c r="K10" s="11">
        <f>I10/H10</f>
        <v/>
      </c>
    </row>
    <row r="11">
      <c r="A11" s="20" t="n">
        <v>0.3</v>
      </c>
      <c r="B11" s="11">
        <f>Model!$B$6-(ROUND(Assumptions!$B$6*A11,0)*Assumptions!$B$8+Model!$B$16)</f>
        <v/>
      </c>
      <c r="C11" s="18">
        <f>B11/Model!$B$6</f>
        <v/>
      </c>
      <c r="E11" s="11" t="n">
        <v>150</v>
      </c>
      <c r="F11" s="11">
        <f>Assumptions!$B$6*E11-(ROUND(Assumptions!$B$6*Assumptions!$B$7,0)*E11+Model!$B$16)</f>
        <v/>
      </c>
      <c r="H11" t="n">
        <v>200</v>
      </c>
      <c r="I11" s="11">
        <f>INDEX(Assumptions!$C$19:$C$24,MATCH(H11,Assumptions!$B$19:$B$24,1))+MAX(0,H11-INDEX(Assumptions!$B$19:$B$24,MATCH(H11,Assumptions!$B$19:$B$24,1)))*Assumptions!$B$13+Assumptions!$B$11*Assumptions!$B$12</f>
        <v/>
      </c>
      <c r="J11" s="18">
        <f>(H11*Assumptions!$B$8-(ROUND(H11*Assumptions!$B$7,0)*Assumptions!$B$8+I11))/(H11*Assumptions!$B$8)</f>
        <v/>
      </c>
      <c r="K11" s="11">
        <f>I11/H11</f>
        <v/>
      </c>
    </row>
    <row r="12">
      <c r="A12" s="20" t="n">
        <v>0.35</v>
      </c>
      <c r="B12" s="11">
        <f>Model!$B$6-(ROUND(Assumptions!$B$6*A12,0)*Assumptions!$B$8+Model!$B$16)</f>
        <v/>
      </c>
      <c r="C12" s="18">
        <f>B12/Model!$B$6</f>
        <v/>
      </c>
      <c r="E12" s="11" t="n">
        <v>175</v>
      </c>
      <c r="F12" s="11">
        <f>Assumptions!$B$6*E12-(ROUND(Assumptions!$B$6*Assumptions!$B$7,0)*E12+Model!$B$16)</f>
        <v/>
      </c>
      <c r="H12" t="n">
        <v>300</v>
      </c>
      <c r="I12" s="11">
        <f>INDEX(Assumptions!$C$19:$C$24,MATCH(H12,Assumptions!$B$19:$B$24,1))+MAX(0,H12-INDEX(Assumptions!$B$19:$B$24,MATCH(H12,Assumptions!$B$19:$B$24,1)))*Assumptions!$B$13+Assumptions!$B$11*Assumptions!$B$12</f>
        <v/>
      </c>
      <c r="J12" s="18">
        <f>(H12*Assumptions!$B$8-(ROUND(H12*Assumptions!$B$7,0)*Assumptions!$B$8+I12))/(H12*Assumptions!$B$8)</f>
        <v/>
      </c>
      <c r="K12" s="11">
        <f>I12/H12</f>
        <v/>
      </c>
    </row>
    <row r="13">
      <c r="A13" s="20" t="n">
        <v>0.4</v>
      </c>
      <c r="B13" s="11">
        <f>Model!$B$6-(ROUND(Assumptions!$B$6*A13,0)*Assumptions!$B$8+Model!$B$16)</f>
        <v/>
      </c>
      <c r="C13" s="18">
        <f>B13/Model!$B$6</f>
        <v/>
      </c>
      <c r="E13" s="11" t="n">
        <v>200</v>
      </c>
      <c r="F13" s="11">
        <f>Assumptions!$B$6*E13-(ROUND(Assumptions!$B$6*Assumptions!$B$7,0)*E13+Model!$B$16)</f>
        <v/>
      </c>
      <c r="H13" t="n">
        <v>500</v>
      </c>
      <c r="I13" s="11">
        <f>INDEX(Assumptions!$C$19:$C$24,MATCH(H13,Assumptions!$B$19:$B$24,1))+MAX(0,H13-INDEX(Assumptions!$B$19:$B$24,MATCH(H13,Assumptions!$B$19:$B$24,1)))*Assumptions!$B$13+Assumptions!$B$11*Assumptions!$B$12</f>
        <v/>
      </c>
      <c r="J13" s="18">
        <f>(H13*Assumptions!$B$8-(ROUND(H13*Assumptions!$B$7,0)*Assumptions!$B$8+I13))/(H13*Assumptions!$B$8)</f>
        <v/>
      </c>
      <c r="K13" s="11">
        <f>I13/H13</f>
        <v/>
      </c>
    </row>
    <row r="14">
      <c r="A14" s="20" t="n">
        <v>0.45</v>
      </c>
      <c r="B14" s="11">
        <f>Model!$B$6-(ROUND(Assumptions!$B$6*A14,0)*Assumptions!$B$8+Model!$B$16)</f>
        <v/>
      </c>
      <c r="C14" s="18">
        <f>B14/Model!$B$6</f>
        <v/>
      </c>
      <c r="E14" s="11" t="n">
        <v>225</v>
      </c>
      <c r="F14" s="11">
        <f>Assumptions!$B$6*E14-(ROUND(Assumptions!$B$6*Assumptions!$B$7,0)*E14+Model!$B$16)</f>
        <v/>
      </c>
      <c r="H14" t="n">
        <v>750</v>
      </c>
      <c r="I14" s="11">
        <f>INDEX(Assumptions!$C$19:$C$24,MATCH(H14,Assumptions!$B$19:$B$24,1))+MAX(0,H14-INDEX(Assumptions!$B$19:$B$24,MATCH(H14,Assumptions!$B$19:$B$24,1)))*Assumptions!$B$13+Assumptions!$B$11*Assumptions!$B$12</f>
        <v/>
      </c>
      <c r="J14" s="18">
        <f>(H14*Assumptions!$B$8-(ROUND(H14*Assumptions!$B$7,0)*Assumptions!$B$8+I14))/(H14*Assumptions!$B$8)</f>
        <v/>
      </c>
      <c r="K14" s="11">
        <f>I14/H14</f>
        <v/>
      </c>
    </row>
    <row r="15">
      <c r="A15" s="20" t="n">
        <v>0.5</v>
      </c>
      <c r="B15" s="11">
        <f>Model!$B$6-(ROUND(Assumptions!$B$6*A15,0)*Assumptions!$B$8+Model!$B$16)</f>
        <v/>
      </c>
      <c r="C15" s="18">
        <f>B15/Model!$B$6</f>
        <v/>
      </c>
      <c r="E15" s="11" t="n">
        <v>250</v>
      </c>
      <c r="F15" s="11">
        <f>Assumptions!$B$6*E15-(ROUND(Assumptions!$B$6*Assumptions!$B$7,0)*E15+Model!$B$16)</f>
        <v/>
      </c>
      <c r="H15" t="n">
        <v>1000</v>
      </c>
      <c r="I15" s="11">
        <f>INDEX(Assumptions!$C$19:$C$24,MATCH(H15,Assumptions!$B$19:$B$24,1))+MAX(0,H15-INDEX(Assumptions!$B$19:$B$24,MATCH(H15,Assumptions!$B$19:$B$24,1)))*Assumptions!$B$13+Assumptions!$B$11*Assumptions!$B$12</f>
        <v/>
      </c>
      <c r="J15" s="18">
        <f>(H15*Assumptions!$B$8-(ROUND(H15*Assumptions!$B$7,0)*Assumptions!$B$8+I15))/(H15*Assumptions!$B$8)</f>
        <v/>
      </c>
      <c r="K15" s="11">
        <f>I15/H15</f>
        <v/>
      </c>
    </row>
    <row r="16">
      <c r="A16" s="20" t="n">
        <v>0.55</v>
      </c>
      <c r="B16" s="11">
        <f>Model!$B$6-(ROUND(Assumptions!$B$6*A16,0)*Assumptions!$B$8+Model!$B$16)</f>
        <v/>
      </c>
      <c r="C16" s="18">
        <f>B16/Model!$B$6</f>
        <v/>
      </c>
      <c r="E16" s="11" t="n">
        <v>275</v>
      </c>
      <c r="F16" s="11">
        <f>Assumptions!$B$6*E16-(ROUND(Assumptions!$B$6*Assumptions!$B$7,0)*E16+Model!$B$16)</f>
        <v/>
      </c>
    </row>
    <row r="17">
      <c r="A17" s="20" t="n">
        <v>0.6000000000000001</v>
      </c>
      <c r="B17" s="11">
        <f>Model!$B$6-(ROUND(Assumptions!$B$6*A17,0)*Assumptions!$B$8+Model!$B$16)</f>
        <v/>
      </c>
      <c r="C17" s="18">
        <f>B17/Model!$B$6</f>
        <v/>
      </c>
      <c r="E17" s="11" t="n">
        <v>300</v>
      </c>
      <c r="F17" s="11">
        <f>Assumptions!$B$6*E17-(ROUND(Assumptions!$B$6*Assumptions!$B$7,0)*E17+Model!$B$16)</f>
        <v/>
      </c>
    </row>
    <row r="18">
      <c r="A18" s="20" t="n">
        <v>0.6500000000000001</v>
      </c>
      <c r="B18" s="11">
        <f>Model!$B$6-(ROUND(Assumptions!$B$6*A18,0)*Assumptions!$B$8+Model!$B$16)</f>
        <v/>
      </c>
      <c r="C18" s="18">
        <f>B18/Model!$B$6</f>
        <v/>
      </c>
      <c r="E18" s="11" t="n">
        <v>325</v>
      </c>
      <c r="F18" s="11">
        <f>Assumptions!$B$6*E18-(ROUND(Assumptions!$B$6*Assumptions!$B$7,0)*E18+Model!$B$16)</f>
        <v/>
      </c>
    </row>
    <row r="19">
      <c r="A19" s="20" t="n">
        <v>0.7000000000000001</v>
      </c>
      <c r="B19" s="11">
        <f>Model!$B$6-(ROUND(Assumptions!$B$6*A19,0)*Assumptions!$B$8+Model!$B$16)</f>
        <v/>
      </c>
      <c r="C19" s="18">
        <f>B19/Model!$B$6</f>
        <v/>
      </c>
      <c r="E19" s="11" t="n">
        <v>350</v>
      </c>
      <c r="F19" s="11">
        <f>Assumptions!$B$6*E19-(ROUND(Assumptions!$B$6*Assumptions!$B$7,0)*E19+Model!$B$16)</f>
        <v/>
      </c>
    </row>
    <row r="20">
      <c r="A20" s="20" t="n">
        <v>0.7500000000000001</v>
      </c>
      <c r="B20" s="11">
        <f>Model!$B$6-(ROUND(Assumptions!$B$6*A20,0)*Assumptions!$B$8+Model!$B$16)</f>
        <v/>
      </c>
      <c r="C20" s="18">
        <f>B20/Model!$B$6</f>
        <v/>
      </c>
      <c r="E20" s="11" t="n">
        <v>375</v>
      </c>
      <c r="F20" s="11">
        <f>Assumptions!$B$6*E20-(ROUND(Assumptions!$B$6*Assumptions!$B$7,0)*E20+Model!$B$16)</f>
        <v/>
      </c>
    </row>
    <row r="21">
      <c r="A21" s="20" t="n">
        <v>0.8</v>
      </c>
      <c r="B21" s="11">
        <f>Model!$B$6-(ROUND(Assumptions!$B$6*A21,0)*Assumptions!$B$8+Model!$B$16)</f>
        <v/>
      </c>
      <c r="C21" s="18">
        <f>B21/Model!$B$6</f>
        <v/>
      </c>
      <c r="E21" s="11" t="n">
        <v>400</v>
      </c>
      <c r="F21" s="11">
        <f>Assumptions!$B$6*E21-(ROUND(Assumptions!$B$6*Assumptions!$B$7,0)*E21+Model!$B$16)</f>
        <v/>
      </c>
    </row>
    <row r="22">
      <c r="A22" s="20" t="n">
        <v>0.8500000000000001</v>
      </c>
      <c r="B22" s="11">
        <f>Model!$B$6-(ROUND(Assumptions!$B$6*A22,0)*Assumptions!$B$8+Model!$B$16)</f>
        <v/>
      </c>
      <c r="C22" s="18">
        <f>B22/Model!$B$6</f>
        <v/>
      </c>
    </row>
    <row r="23">
      <c r="A23" s="20" t="n">
        <v>0.9000000000000001</v>
      </c>
      <c r="B23" s="11">
        <f>Model!$B$6-(ROUND(Assumptions!$B$6*A23,0)*Assumptions!$B$8+Model!$B$16)</f>
        <v/>
      </c>
      <c r="C23" s="18">
        <f>B23/Model!$B$6</f>
        <v/>
      </c>
    </row>
    <row r="24">
      <c r="A24" s="20" t="n">
        <v>0.9500000000000001</v>
      </c>
      <c r="B24" s="11">
        <f>Model!$B$6-(ROUND(Assumptions!$B$6*A24,0)*Assumptions!$B$8+Model!$B$16)</f>
        <v/>
      </c>
      <c r="C24" s="18">
        <f>B24/Model!$B$6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2026-09-09T04:52:20Z</dcterms:created>
  <dcterms:modified xsi:type="dcterms:W3CDTF">2026-09-09T04:52:20Z</dcterms:modified>
</cp:coreProperties>
</file>