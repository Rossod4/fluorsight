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s" sheetId="1" state="visible" r:id="rId1"/>
    <sheet name="Assumptions" sheetId="2" state="visible" r:id="rId2"/>
    <sheet name="Model" sheetId="3" state="visible" r:id="rId3"/>
    <sheet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£&quot;#,##0"/>
    <numFmt numFmtId="165" formatCode="0.0%"/>
    <numFmt numFmtId="166" formatCode="0.0"/>
  </numFmts>
  <fonts count="12">
    <font>
      <name val="Calibri"/>
      <family val="2"/>
      <color theme="1"/>
      <sz val="11"/>
      <scheme val="minor"/>
    </font>
    <font>
      <b val="1"/>
      <color rgb="000B0B0B"/>
      <sz val="15"/>
    </font>
    <font>
      <i val="1"/>
      <color rgb="0052514E"/>
      <sz val="10"/>
    </font>
    <font>
      <b val="1"/>
      <color rgb="00FFFFFF"/>
      <sz val="11"/>
    </font>
    <font>
      <b val="1"/>
    </font>
    <font>
      <color rgb="0052514E"/>
      <sz val="9"/>
    </font>
    <font>
      <b val="1"/>
      <color rgb="000B0B0B"/>
      <sz val="11"/>
    </font>
    <font>
      <b val="1"/>
      <color rgb="000F766E"/>
    </font>
    <font>
      <b val="1"/>
      <color rgb="0052514E"/>
      <sz val="10"/>
    </font>
    <font>
      <b val="1"/>
      <sz val="15"/>
    </font>
    <font>
      <b val="1"/>
      <sz val="1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pivotButton="0" quotePrefix="0" xfId="0"/>
    <xf numFmtId="0" fontId="5" fillId="0" borderId="0" applyAlignment="1" pivotButton="0" quotePrefix="0" xfId="0">
      <alignment vertical="top" wrapText="1"/>
    </xf>
    <xf numFmtId="9" fontId="4" fillId="3" borderId="1" pivotButton="0" quotePrefix="0" xfId="0"/>
    <xf numFmtId="164" fontId="4" fillId="3" borderId="1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vertical="center" wrapText="1"/>
    </xf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One 500-sample programme: £125,000 becomes £50,000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'Model'!B27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'Model'!$A$28:$A$29</f>
            </numRef>
          </cat>
          <val>
            <numRef>
              <f>'Model'!$B$28:$B$29</f>
            </numRef>
          </val>
        </ser>
        <ser>
          <idx val="1"/>
          <order val="1"/>
          <tx>
            <strRef>
              <f>'Model'!C27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'Model'!$A$28:$A$29</f>
            </numRef>
          </cat>
          <val>
            <numRef>
              <f>'Model'!$C$28:$C$29</f>
            </numRef>
          </val>
        </ser>
        <ser>
          <idx val="2"/>
          <order val="2"/>
          <tx>
            <strRef>
              <f>'Model'!D27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'Model'!$A$28:$A$29</f>
            </numRef>
          </cat>
          <val>
            <numRef>
              <f>'Model'!$D$28:$D$29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Annual cost</a:t>
                </a:r>
              </a:p>
            </rich>
          </tx>
        </title>
        <numFmt formatCode="&quot;£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saving holds across the escalation rate we are least sure of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'Sensitivity'!C5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'Sensitivity'!$A$6:$A$16</f>
            </numRef>
          </cat>
          <val>
            <numRef>
              <f>'Sensitivity'!$C$6:$C$16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Share of screened samples sent to the lab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Customer saving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Triage stops paying only below ~£62.50 a sample. We assume £250.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'Sensitivity'!F5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'Sensitivity'!$E$6:$E$21</f>
            </numRef>
          </cat>
          <val>
            <numRef>
              <f>'Sensitivity'!$F$6:$F$21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What the laboratory charges per 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Net saving</a:t>
                </a:r>
              </a:p>
            </rich>
          </tx>
        </title>
        <numFmt formatCode="&quot;£&quot;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What we charge: their saving against our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'Sensitivity'!I5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'Sensitivity'!$H$6:$H$16</f>
            </numRef>
          </cat>
          <val>
            <numRef>
              <f>'Sensitivity'!$I$6:$I$16</f>
            </numRef>
          </val>
          <smooth val="0"/>
        </ser>
        <ser>
          <idx val="1"/>
          <order val="1"/>
          <tx>
            <strRef>
              <f>'Sensitivity'!J5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'Sensitivity'!$H$6:$H$16</f>
            </numRef>
          </cat>
          <val>
            <numRef>
              <f>'Sensitivity'!$J$6:$J$16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Price we charge per screen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Annual £</a:t>
                </a:r>
              </a:p>
            </rich>
          </tx>
        </title>
        <numFmt formatCode="&quot;£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3</row>
      <rowOff>0</rowOff>
    </from>
    <ext cx="54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540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9" t="inlineStr">
        <is>
          <t>Charts — copy any of these straight into PowerPoint</t>
        </is>
      </c>
    </row>
    <row r="2">
      <c r="A2" s="2" t="inlineStr">
        <is>
          <t>Right-click a chart → Copy, then paste into a slide. They stay linked to this workbook, so changing an assumption updates the slide. Data lives on the Model and Sensitivity sheets.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13" customWidth="1" min="4" max="4"/>
    <col width="72" customWidth="1" min="5" max="5"/>
  </cols>
  <sheetData>
    <row r="1">
      <c r="A1" s="1" t="inlineStr">
        <is>
          <t>Fluorsight — business model assumptions</t>
        </is>
      </c>
    </row>
    <row r="2">
      <c r="A2" s="2" t="inlineStr">
        <is>
          <t>Change any yellow cell. Every figure and chart in this workbook updates. Nothing here is hard-coded downstream.</t>
        </is>
      </c>
    </row>
    <row r="5">
      <c r="A5" s="3" t="inlineStr">
        <is>
          <t>Input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Status</t>
        </is>
      </c>
      <c r="E5" s="3" t="inlineStr">
        <is>
          <t>Where it comes from</t>
        </is>
      </c>
    </row>
    <row r="6">
      <c r="A6" t="inlineStr">
        <is>
          <t>Portfolio size</t>
        </is>
      </c>
      <c r="B6" s="4" t="n">
        <v>500</v>
      </c>
      <c r="C6" t="inlineStr">
        <is>
          <t>samples / year</t>
        </is>
      </c>
      <c r="D6" t="inlineStr">
        <is>
          <t>MODELLED</t>
        </is>
      </c>
      <c r="E6" s="5" t="inlineStr">
        <is>
          <t>Illustrative annual programme for one consultancy. Our choice, not measured.</t>
        </is>
      </c>
    </row>
    <row r="7">
      <c r="A7" t="inlineStr">
        <is>
          <t>Escalation rate</t>
        </is>
      </c>
      <c r="B7" s="6" t="n">
        <v>0.2</v>
      </c>
      <c r="C7" t="inlineStr">
        <is>
          <t>share screened</t>
        </is>
      </c>
      <c r="D7" t="inlineStr">
        <is>
          <t>MODELLED</t>
        </is>
      </c>
      <c r="E7" s="5" t="inlineStr">
        <is>
          <t>The weakest assumption in the model. Shown as a range on the Sensitivity sheet.</t>
        </is>
      </c>
    </row>
    <row r="8">
      <c r="A8" t="inlineStr">
        <is>
          <t>Lab cost per sample</t>
        </is>
      </c>
      <c r="B8" s="7" t="n">
        <v>250</v>
      </c>
      <c r="C8" t="inlineStr">
        <is>
          <t>£ / sample</t>
        </is>
      </c>
      <c r="D8" t="inlineStr">
        <is>
          <t>MODELLED</t>
        </is>
      </c>
      <c r="E8" s="5" t="inlineStr">
        <is>
          <t>No UK laboratory publishes a rate card — 7 providers' published pricing checked, all quote on request.</t>
        </is>
      </c>
    </row>
    <row r="9">
      <c r="A9" t="inlineStr">
        <is>
          <t>Annual subscription</t>
        </is>
      </c>
      <c r="B9" s="7" t="n">
        <v>5000</v>
      </c>
      <c r="C9" t="inlineStr">
        <is>
          <t>£ / year</t>
        </is>
      </c>
      <c r="D9" t="inlineStr">
        <is>
          <t>MODELLED</t>
        </is>
      </c>
      <c r="E9" s="5" t="inlineStr">
        <is>
          <t>Our pricing decision. Standard single-programme tier.</t>
        </is>
      </c>
    </row>
    <row r="10">
      <c r="A10" t="inlineStr">
        <is>
          <t>Consumable price to customer</t>
        </is>
      </c>
      <c r="B10" s="7" t="n">
        <v>40</v>
      </c>
      <c r="C10" t="inlineStr">
        <is>
          <t>£ / sample</t>
        </is>
      </c>
      <c r="D10" t="inlineStr">
        <is>
          <t>MODELLED</t>
        </is>
      </c>
      <c r="E10" s="5" t="inlineStr">
        <is>
          <t>What we charge per screen. A pricing decision, not a cost.</t>
        </is>
      </c>
    </row>
    <row r="11">
      <c r="A11" t="inlineStr">
        <is>
          <t>Consumable cost to us</t>
        </is>
      </c>
      <c r="B11" s="7" t="n">
        <v>1</v>
      </c>
      <c r="C11" t="inlineStr">
        <is>
          <t>£ / sample</t>
        </is>
      </c>
      <c r="D11" t="inlineStr">
        <is>
          <t>MODELLED</t>
        </is>
      </c>
      <c r="E11" s="5" t="inlineStr">
        <is>
          <t>Dom &amp; Evan build costing, Sept 2026. Rounded up — their estimate was nearer 50p.</t>
        </is>
      </c>
    </row>
    <row r="12">
      <c r="A12" t="inlineStr">
        <is>
          <t>Device cost to us</t>
        </is>
      </c>
      <c r="B12" s="7" t="n">
        <v>40</v>
      </c>
      <c r="C12" t="inlineStr">
        <is>
          <t>£ one-off</t>
        </is>
      </c>
      <c r="D12" t="inlineStr">
        <is>
          <t>MODELLED</t>
        </is>
      </c>
      <c r="E12" s="5" t="inlineStr">
        <is>
          <t>Dom &amp; Evan build costing, Sept 2026.</t>
        </is>
      </c>
    </row>
    <row r="14">
      <c r="A14" s="8" t="inlineStr">
        <is>
          <t>Reference — not an input</t>
        </is>
      </c>
      <c r="D14" t="inlineStr">
        <is>
          <t>PUBLISHED</t>
        </is>
      </c>
      <c r="E14" s="5" t="inlineStr"/>
    </row>
    <row r="15">
      <c r="A15" t="inlineStr">
        <is>
          <t>Lab turnaround</t>
        </is>
      </c>
      <c r="B15" t="inlineStr">
        <is>
          <t>10–15 working days</t>
        </is>
      </c>
      <c r="D15" t="inlineStr">
        <is>
          <t>PUBLISHED</t>
        </is>
      </c>
      <c r="E15" s="5" t="inlineStr">
        <is>
          <t>SOCOTEC UK, PFAS testing page, checked Sept 2026.</t>
        </is>
      </c>
    </row>
    <row r="16">
      <c r="A16" t="inlineStr">
        <is>
          <t>Published water price (Finland)</t>
        </is>
      </c>
      <c r="B16" t="inlineStr">
        <is>
          <t>€175–300 / sample</t>
        </is>
      </c>
      <c r="D16" t="inlineStr">
        <is>
          <t>PUBLISHED</t>
        </is>
      </c>
      <c r="E16" s="5" t="inlineStr">
        <is>
          <t>Measurlabs list price. Not UK, and not a like-for-like scope.</t>
        </is>
      </c>
    </row>
    <row r="17">
      <c r="A17" t="inlineStr">
        <is>
          <t>Nearest published UK figure</t>
        </is>
      </c>
      <c r="B17" t="inlineStr">
        <is>
          <t>£350 / sample</t>
        </is>
      </c>
      <c r="D17" t="inlineStr">
        <is>
          <t>PUBLISHED</t>
        </is>
      </c>
      <c r="E17" s="5" t="inlineStr">
        <is>
          <t>EIA evidence to Commons EAC, May 2025 — for SOIL, explicitly excludes water. Does NOT validate the £250 above.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70" customWidth="1" min="3" max="3"/>
  </cols>
  <sheetData>
    <row r="1">
      <c r="A1" s="1" t="inlineStr">
        <is>
          <t>The model — one 500-sample programme</t>
        </is>
      </c>
    </row>
    <row r="2">
      <c r="A2" s="2" t="inlineStr">
        <is>
          <t>Every cell is a formula. Change the Assumptions sheet and these move.</t>
        </is>
      </c>
    </row>
    <row r="5">
      <c r="A5" s="3" t="inlineStr">
        <is>
          <t>What the customer pays</t>
        </is>
      </c>
      <c r="B5" s="3" t="inlineStr"/>
      <c r="C5" s="3" t="inlineStr"/>
    </row>
    <row r="6">
      <c r="A6" t="inlineStr">
        <is>
          <t>Testing everything at the lab</t>
        </is>
      </c>
      <c r="B6" s="9">
        <f>Assumptions!B6*Assumptions!B8</f>
        <v/>
      </c>
      <c r="C6" s="5" t="inlineStr">
        <is>
          <t>Portfolio × lab cost. The do-nothing baseline.</t>
        </is>
      </c>
    </row>
    <row r="7">
      <c r="A7" t="inlineStr">
        <is>
          <t>Samples escalated to the lab</t>
        </is>
      </c>
      <c r="B7" s="10">
        <f>ROUND(Assumptions!B6*Assumptions!B7,0)</f>
        <v/>
      </c>
      <c r="C7" s="5" t="inlineStr">
        <is>
          <t>Portfolio × escalation rate.</t>
        </is>
      </c>
    </row>
    <row r="8">
      <c r="A8" t="inlineStr">
        <is>
          <t xml:space="preserve">  Lab spend under triage</t>
        </is>
      </c>
      <c r="B8" s="9">
        <f>B7*Assumptions!B8</f>
        <v/>
      </c>
      <c r="C8" s="5" t="inlineStr"/>
    </row>
    <row r="9">
      <c r="A9" t="inlineStr">
        <is>
          <t xml:space="preserve">  Screening consumables</t>
        </is>
      </c>
      <c r="B9" s="9">
        <f>Assumptions!B6*Assumptions!B10</f>
        <v/>
      </c>
      <c r="C9" s="5" t="inlineStr">
        <is>
          <t>Every sample is screened, so this is the full portfolio.</t>
        </is>
      </c>
    </row>
    <row r="10">
      <c r="A10" t="inlineStr">
        <is>
          <t xml:space="preserve">  Software subscription</t>
        </is>
      </c>
      <c r="B10" s="9">
        <f>Assumptions!B9</f>
        <v/>
      </c>
      <c r="C10" s="5" t="inlineStr"/>
    </row>
    <row r="11">
      <c r="A11" s="11" t="inlineStr">
        <is>
          <t>Total with Fluorsight</t>
        </is>
      </c>
      <c r="B11" s="12">
        <f>B8+B9+B10</f>
        <v/>
      </c>
      <c r="C11" s="5" t="inlineStr"/>
    </row>
    <row r="12">
      <c r="A12" s="13" t="inlineStr">
        <is>
          <t>Customer saving</t>
        </is>
      </c>
      <c r="B12" s="14">
        <f>B6-B11</f>
        <v/>
      </c>
      <c r="C12" s="5" t="inlineStr"/>
    </row>
    <row r="13">
      <c r="A13" s="13" t="inlineStr">
        <is>
          <t>Saving as a share</t>
        </is>
      </c>
      <c r="B13" s="15">
        <f>B12/B6</f>
        <v/>
      </c>
      <c r="C13" s="5" t="inlineStr"/>
    </row>
    <row r="15">
      <c r="A15" s="3" t="inlineStr">
        <is>
          <t>What it means for us</t>
        </is>
      </c>
      <c r="B15" s="3" t="n"/>
      <c r="C15" s="3" t="n"/>
    </row>
    <row r="16">
      <c r="A16" t="inlineStr">
        <is>
          <t>Revenue</t>
        </is>
      </c>
      <c r="B16" s="9">
        <f>Assumptions!B9+Assumptions!B6*Assumptions!B10</f>
        <v/>
      </c>
      <c r="C16" s="5" t="inlineStr">
        <is>
          <t>Subscription plus what we charge per screen.</t>
        </is>
      </c>
    </row>
    <row r="17">
      <c r="A17" t="inlineStr">
        <is>
          <t>Cost of goods</t>
        </is>
      </c>
      <c r="B17" s="9">
        <f>Assumptions!B6*Assumptions!B11</f>
        <v/>
      </c>
      <c r="C17" s="5" t="inlineStr">
        <is>
          <t>Portfolio × our per-sample cost.</t>
        </is>
      </c>
    </row>
    <row r="18">
      <c r="A18" t="inlineStr">
        <is>
          <t>Gross profit</t>
        </is>
      </c>
      <c r="B18" s="9">
        <f>B16-B17</f>
        <v/>
      </c>
      <c r="C18" s="5" t="inlineStr"/>
    </row>
    <row r="19">
      <c r="A19" t="inlineStr">
        <is>
          <t>Gross margin</t>
        </is>
      </c>
      <c r="B19" s="16">
        <f>B18/B16</f>
        <v/>
      </c>
      <c r="C19" s="5" t="inlineStr"/>
    </row>
    <row r="20">
      <c r="A20" t="inlineStr">
        <is>
          <t>Device payback</t>
        </is>
      </c>
      <c r="B20" s="17">
        <f>Assumptions!B12/(Assumptions!B10-Assumptions!B11)</f>
        <v/>
      </c>
      <c r="C20" s="5" t="inlineStr">
        <is>
          <t>Screens needed to cover the one-off £40 device.</t>
        </is>
      </c>
    </row>
    <row r="22">
      <c r="A22" s="3" t="inlineStr">
        <is>
          <t>The robustness test</t>
        </is>
      </c>
      <c r="B22" s="3" t="n"/>
      <c r="C22" s="3" t="n"/>
    </row>
    <row r="23">
      <c r="A23" t="inlineStr">
        <is>
          <t>Break-even lab cost</t>
        </is>
      </c>
      <c r="B23" s="9">
        <f>(Assumptions!B9+Assumptions!B6*Assumptions!B10)/(Assumptions!B6*(1-Assumptions!B7))</f>
        <v/>
      </c>
      <c r="C23" s="5" t="inlineStr">
        <is>
          <t>Triage stops paying only if lab analysis falls below this. We assume £250 — so the conclusion survives being badly wrong.</t>
        </is>
      </c>
    </row>
    <row r="26">
      <c r="A26" s="18" t="inlineStr">
        <is>
          <t>Chart data — cost comparison</t>
        </is>
      </c>
    </row>
    <row r="27">
      <c r="B27" t="inlineStr">
        <is>
          <t>Lab analysis</t>
        </is>
      </c>
      <c r="C27" t="inlineStr">
        <is>
          <t>Consumables</t>
        </is>
      </c>
      <c r="D27" t="inlineStr">
        <is>
          <t>Subscription</t>
        </is>
      </c>
    </row>
    <row r="28">
      <c r="A28" t="inlineStr">
        <is>
          <t>Test everything</t>
        </is>
      </c>
      <c r="B28" s="9">
        <f>B6</f>
        <v/>
      </c>
      <c r="C28" s="9" t="n">
        <v>0</v>
      </c>
      <c r="D28" s="9" t="n">
        <v>0</v>
      </c>
    </row>
    <row r="29">
      <c r="A29" t="inlineStr">
        <is>
          <t>With Fluorsight</t>
        </is>
      </c>
      <c r="B29" s="9">
        <f>B8</f>
        <v/>
      </c>
      <c r="C29" s="9">
        <f>B9</f>
        <v/>
      </c>
      <c r="D29" s="9">
        <f>B10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3" customWidth="1" min="4" max="4"/>
    <col width="20" customWidth="1" min="5" max="5"/>
    <col width="18" customWidth="1" min="6" max="6"/>
    <col width="3" customWidth="1" min="7" max="7"/>
    <col width="20" customWidth="1" min="8" max="8"/>
    <col width="20" customWidth="1" min="9" max="9"/>
    <col width="18" customWidth="1" min="10" max="10"/>
  </cols>
  <sheetData>
    <row r="1">
      <c r="A1" s="19" t="inlineStr">
        <is>
          <t>Sensitivity — what happens when the assumptions are wrong</t>
        </is>
      </c>
    </row>
    <row r="2">
      <c r="A2" s="2" t="inlineStr">
        <is>
          <t>Three tables, all live off the Assumptions sheet. These feed the charts.</t>
        </is>
      </c>
    </row>
    <row r="4">
      <c r="A4" s="20" t="inlineStr">
        <is>
          <t>A · If more samples escalate than we assume</t>
        </is>
      </c>
      <c r="E4" s="20" t="inlineStr">
        <is>
          <t>B · Break-even — how cheap would the lab have to get?</t>
        </is>
      </c>
      <c r="H4" s="20" t="inlineStr">
        <is>
          <t>C · What we charge — their saving against our revenue</t>
        </is>
      </c>
    </row>
    <row r="5">
      <c r="A5" s="21" t="inlineStr">
        <is>
          <t>Escalation rate</t>
        </is>
      </c>
      <c r="B5" s="21" t="inlineStr">
        <is>
          <t>Customer saving (£)</t>
        </is>
      </c>
      <c r="C5" s="21" t="inlineStr">
        <is>
          <t>Saving (%)</t>
        </is>
      </c>
      <c r="E5" s="21" t="inlineStr">
        <is>
          <t>Lab cost (£/sample)</t>
        </is>
      </c>
      <c r="F5" s="21" t="inlineStr">
        <is>
          <t>Net saving (£)</t>
        </is>
      </c>
      <c r="H5" s="21" t="inlineStr">
        <is>
          <t>Price per screen (£)</t>
        </is>
      </c>
      <c r="I5" s="21" t="inlineStr">
        <is>
          <t>Customer saving (£)</t>
        </is>
      </c>
      <c r="J5" s="21" t="inlineStr">
        <is>
          <t>Our revenue (£)</t>
        </is>
      </c>
    </row>
    <row r="6">
      <c r="A6" s="22" t="n">
        <v>0.05</v>
      </c>
      <c r="B6" s="9">
        <f>Model!$B$6-(ROUND(Assumptions!$B$6*A6,0)*Assumptions!$B$8+Assumptions!$B$6*Assumptions!$B$10+Assumptions!$B$9)</f>
        <v/>
      </c>
      <c r="C6" s="16">
        <f>B6/Model!$B$6</f>
        <v/>
      </c>
      <c r="E6" s="9" t="n">
        <v>25</v>
      </c>
      <c r="F6" s="9">
        <f>Assumptions!$B$6*E6-(ROUND(Assumptions!$B$6*Assumptions!$B$7,0)*E6+Assumptions!$B$6*Assumptions!$B$10+Assumptions!$B$9)</f>
        <v/>
      </c>
      <c r="H6" s="9" t="n">
        <v>1</v>
      </c>
      <c r="I6" s="9">
        <f>Model!$B$6-(Model!$B$8+Assumptions!$B$6*H6+Assumptions!$B$9)</f>
        <v/>
      </c>
      <c r="J6" s="9">
        <f>Assumptions!$B$9+Assumptions!$B$6*H6</f>
        <v/>
      </c>
    </row>
    <row r="7">
      <c r="A7" s="22" t="n">
        <v>0.1</v>
      </c>
      <c r="B7" s="9">
        <f>Model!$B$6-(ROUND(Assumptions!$B$6*A7,0)*Assumptions!$B$8+Assumptions!$B$6*Assumptions!$B$10+Assumptions!$B$9)</f>
        <v/>
      </c>
      <c r="C7" s="16">
        <f>B7/Model!$B$6</f>
        <v/>
      </c>
      <c r="E7" s="9" t="n">
        <v>50</v>
      </c>
      <c r="F7" s="9">
        <f>Assumptions!$B$6*E7-(ROUND(Assumptions!$B$6*Assumptions!$B$7,0)*E7+Assumptions!$B$6*Assumptions!$B$10+Assumptions!$B$9)</f>
        <v/>
      </c>
      <c r="H7" s="9" t="n">
        <v>2</v>
      </c>
      <c r="I7" s="9">
        <f>Model!$B$6-(Model!$B$8+Assumptions!$B$6*H7+Assumptions!$B$9)</f>
        <v/>
      </c>
      <c r="J7" s="9">
        <f>Assumptions!$B$9+Assumptions!$B$6*H7</f>
        <v/>
      </c>
    </row>
    <row r="8">
      <c r="A8" s="22" t="n">
        <v>0.15</v>
      </c>
      <c r="B8" s="9">
        <f>Model!$B$6-(ROUND(Assumptions!$B$6*A8,0)*Assumptions!$B$8+Assumptions!$B$6*Assumptions!$B$10+Assumptions!$B$9)</f>
        <v/>
      </c>
      <c r="C8" s="16">
        <f>B8/Model!$B$6</f>
        <v/>
      </c>
      <c r="E8" s="9" t="n">
        <v>75</v>
      </c>
      <c r="F8" s="9">
        <f>Assumptions!$B$6*E8-(ROUND(Assumptions!$B$6*Assumptions!$B$7,0)*E8+Assumptions!$B$6*Assumptions!$B$10+Assumptions!$B$9)</f>
        <v/>
      </c>
      <c r="H8" s="9" t="n">
        <v>5</v>
      </c>
      <c r="I8" s="9">
        <f>Model!$B$6-(Model!$B$8+Assumptions!$B$6*H8+Assumptions!$B$9)</f>
        <v/>
      </c>
      <c r="J8" s="9">
        <f>Assumptions!$B$9+Assumptions!$B$6*H8</f>
        <v/>
      </c>
    </row>
    <row r="9">
      <c r="A9" s="22" t="n">
        <v>0.2</v>
      </c>
      <c r="B9" s="9">
        <f>Model!$B$6-(ROUND(Assumptions!$B$6*A9,0)*Assumptions!$B$8+Assumptions!$B$6*Assumptions!$B$10+Assumptions!$B$9)</f>
        <v/>
      </c>
      <c r="C9" s="16">
        <f>B9/Model!$B$6</f>
        <v/>
      </c>
      <c r="E9" s="9" t="n">
        <v>100</v>
      </c>
      <c r="F9" s="9">
        <f>Assumptions!$B$6*E9-(ROUND(Assumptions!$B$6*Assumptions!$B$7,0)*E9+Assumptions!$B$6*Assumptions!$B$10+Assumptions!$B$9)</f>
        <v/>
      </c>
      <c r="H9" s="9" t="n">
        <v>10</v>
      </c>
      <c r="I9" s="9">
        <f>Model!$B$6-(Model!$B$8+Assumptions!$B$6*H9+Assumptions!$B$9)</f>
        <v/>
      </c>
      <c r="J9" s="9">
        <f>Assumptions!$B$9+Assumptions!$B$6*H9</f>
        <v/>
      </c>
    </row>
    <row r="10">
      <c r="A10" s="22" t="n">
        <v>0.25</v>
      </c>
      <c r="B10" s="9">
        <f>Model!$B$6-(ROUND(Assumptions!$B$6*A10,0)*Assumptions!$B$8+Assumptions!$B$6*Assumptions!$B$10+Assumptions!$B$9)</f>
        <v/>
      </c>
      <c r="C10" s="16">
        <f>B10/Model!$B$6</f>
        <v/>
      </c>
      <c r="E10" s="9" t="n">
        <v>125</v>
      </c>
      <c r="F10" s="9">
        <f>Assumptions!$B$6*E10-(ROUND(Assumptions!$B$6*Assumptions!$B$7,0)*E10+Assumptions!$B$6*Assumptions!$B$10+Assumptions!$B$9)</f>
        <v/>
      </c>
      <c r="H10" s="9" t="n">
        <v>15</v>
      </c>
      <c r="I10" s="9">
        <f>Model!$B$6-(Model!$B$8+Assumptions!$B$6*H10+Assumptions!$B$9)</f>
        <v/>
      </c>
      <c r="J10" s="9">
        <f>Assumptions!$B$9+Assumptions!$B$6*H10</f>
        <v/>
      </c>
    </row>
    <row r="11">
      <c r="A11" s="22" t="n">
        <v>0.3</v>
      </c>
      <c r="B11" s="9">
        <f>Model!$B$6-(ROUND(Assumptions!$B$6*A11,0)*Assumptions!$B$8+Assumptions!$B$6*Assumptions!$B$10+Assumptions!$B$9)</f>
        <v/>
      </c>
      <c r="C11" s="16">
        <f>B11/Model!$B$6</f>
        <v/>
      </c>
      <c r="E11" s="9" t="n">
        <v>150</v>
      </c>
      <c r="F11" s="9">
        <f>Assumptions!$B$6*E11-(ROUND(Assumptions!$B$6*Assumptions!$B$7,0)*E11+Assumptions!$B$6*Assumptions!$B$10+Assumptions!$B$9)</f>
        <v/>
      </c>
      <c r="H11" s="9" t="n">
        <v>20</v>
      </c>
      <c r="I11" s="9">
        <f>Model!$B$6-(Model!$B$8+Assumptions!$B$6*H11+Assumptions!$B$9)</f>
        <v/>
      </c>
      <c r="J11" s="9">
        <f>Assumptions!$B$9+Assumptions!$B$6*H11</f>
        <v/>
      </c>
    </row>
    <row r="12">
      <c r="A12" s="22" t="n">
        <v>0.35</v>
      </c>
      <c r="B12" s="9">
        <f>Model!$B$6-(ROUND(Assumptions!$B$6*A12,0)*Assumptions!$B$8+Assumptions!$B$6*Assumptions!$B$10+Assumptions!$B$9)</f>
        <v/>
      </c>
      <c r="C12" s="16">
        <f>B12/Model!$B$6</f>
        <v/>
      </c>
      <c r="E12" s="9" t="n">
        <v>175</v>
      </c>
      <c r="F12" s="9">
        <f>Assumptions!$B$6*E12-(ROUND(Assumptions!$B$6*Assumptions!$B$7,0)*E12+Assumptions!$B$6*Assumptions!$B$10+Assumptions!$B$9)</f>
        <v/>
      </c>
      <c r="H12" s="9" t="n">
        <v>25</v>
      </c>
      <c r="I12" s="9">
        <f>Model!$B$6-(Model!$B$8+Assumptions!$B$6*H12+Assumptions!$B$9)</f>
        <v/>
      </c>
      <c r="J12" s="9">
        <f>Assumptions!$B$9+Assumptions!$B$6*H12</f>
        <v/>
      </c>
    </row>
    <row r="13">
      <c r="A13" s="22" t="n">
        <v>0.4</v>
      </c>
      <c r="B13" s="9">
        <f>Model!$B$6-(ROUND(Assumptions!$B$6*A13,0)*Assumptions!$B$8+Assumptions!$B$6*Assumptions!$B$10+Assumptions!$B$9)</f>
        <v/>
      </c>
      <c r="C13" s="16">
        <f>B13/Model!$B$6</f>
        <v/>
      </c>
      <c r="E13" s="9" t="n">
        <v>200</v>
      </c>
      <c r="F13" s="9">
        <f>Assumptions!$B$6*E13-(ROUND(Assumptions!$B$6*Assumptions!$B$7,0)*E13+Assumptions!$B$6*Assumptions!$B$10+Assumptions!$B$9)</f>
        <v/>
      </c>
      <c r="H13" s="9" t="n">
        <v>30</v>
      </c>
      <c r="I13" s="9">
        <f>Model!$B$6-(Model!$B$8+Assumptions!$B$6*H13+Assumptions!$B$9)</f>
        <v/>
      </c>
      <c r="J13" s="9">
        <f>Assumptions!$B$9+Assumptions!$B$6*H13</f>
        <v/>
      </c>
    </row>
    <row r="14">
      <c r="A14" s="22" t="n">
        <v>0.45</v>
      </c>
      <c r="B14" s="9">
        <f>Model!$B$6-(ROUND(Assumptions!$B$6*A14,0)*Assumptions!$B$8+Assumptions!$B$6*Assumptions!$B$10+Assumptions!$B$9)</f>
        <v/>
      </c>
      <c r="C14" s="16">
        <f>B14/Model!$B$6</f>
        <v/>
      </c>
      <c r="E14" s="9" t="n">
        <v>225</v>
      </c>
      <c r="F14" s="9">
        <f>Assumptions!$B$6*E14-(ROUND(Assumptions!$B$6*Assumptions!$B$7,0)*E14+Assumptions!$B$6*Assumptions!$B$10+Assumptions!$B$9)</f>
        <v/>
      </c>
      <c r="H14" s="9" t="n">
        <v>35</v>
      </c>
      <c r="I14" s="9">
        <f>Model!$B$6-(Model!$B$8+Assumptions!$B$6*H14+Assumptions!$B$9)</f>
        <v/>
      </c>
      <c r="J14" s="9">
        <f>Assumptions!$B$9+Assumptions!$B$6*H14</f>
        <v/>
      </c>
    </row>
    <row r="15">
      <c r="A15" s="22" t="n">
        <v>0.5</v>
      </c>
      <c r="B15" s="9">
        <f>Model!$B$6-(ROUND(Assumptions!$B$6*A15,0)*Assumptions!$B$8+Assumptions!$B$6*Assumptions!$B$10+Assumptions!$B$9)</f>
        <v/>
      </c>
      <c r="C15" s="16">
        <f>B15/Model!$B$6</f>
        <v/>
      </c>
      <c r="E15" s="9" t="n">
        <v>250</v>
      </c>
      <c r="F15" s="9">
        <f>Assumptions!$B$6*E15-(ROUND(Assumptions!$B$6*Assumptions!$B$7,0)*E15+Assumptions!$B$6*Assumptions!$B$10+Assumptions!$B$9)</f>
        <v/>
      </c>
      <c r="H15" s="9" t="n">
        <v>40</v>
      </c>
      <c r="I15" s="9">
        <f>Model!$B$6-(Model!$B$8+Assumptions!$B$6*H15+Assumptions!$B$9)</f>
        <v/>
      </c>
      <c r="J15" s="9">
        <f>Assumptions!$B$9+Assumptions!$B$6*H15</f>
        <v/>
      </c>
    </row>
    <row r="16">
      <c r="A16" s="22" t="n">
        <v>0.55</v>
      </c>
      <c r="B16" s="9">
        <f>Model!$B$6-(ROUND(Assumptions!$B$6*A16,0)*Assumptions!$B$8+Assumptions!$B$6*Assumptions!$B$10+Assumptions!$B$9)</f>
        <v/>
      </c>
      <c r="C16" s="16">
        <f>B16/Model!$B$6</f>
        <v/>
      </c>
      <c r="E16" s="9" t="n">
        <v>275</v>
      </c>
      <c r="F16" s="9">
        <f>Assumptions!$B$6*E16-(ROUND(Assumptions!$B$6*Assumptions!$B$7,0)*E16+Assumptions!$B$6*Assumptions!$B$10+Assumptions!$B$9)</f>
        <v/>
      </c>
      <c r="H16" s="9" t="n">
        <v>50</v>
      </c>
      <c r="I16" s="9">
        <f>Model!$B$6-(Model!$B$8+Assumptions!$B$6*H16+Assumptions!$B$9)</f>
        <v/>
      </c>
      <c r="J16" s="9">
        <f>Assumptions!$B$9+Assumptions!$B$6*H16</f>
        <v/>
      </c>
    </row>
    <row r="17">
      <c r="E17" s="9" t="n">
        <v>300</v>
      </c>
      <c r="F17" s="9">
        <f>Assumptions!$B$6*E17-(ROUND(Assumptions!$B$6*Assumptions!$B$7,0)*E17+Assumptions!$B$6*Assumptions!$B$10+Assumptions!$B$9)</f>
        <v/>
      </c>
    </row>
    <row r="18">
      <c r="E18" s="9" t="n">
        <v>325</v>
      </c>
      <c r="F18" s="9">
        <f>Assumptions!$B$6*E18-(ROUND(Assumptions!$B$6*Assumptions!$B$7,0)*E18+Assumptions!$B$6*Assumptions!$B$10+Assumptions!$B$9)</f>
        <v/>
      </c>
    </row>
    <row r="19">
      <c r="E19" s="9" t="n">
        <v>350</v>
      </c>
      <c r="F19" s="9">
        <f>Assumptions!$B$6*E19-(ROUND(Assumptions!$B$6*Assumptions!$B$7,0)*E19+Assumptions!$B$6*Assumptions!$B$10+Assumptions!$B$9)</f>
        <v/>
      </c>
    </row>
    <row r="20">
      <c r="E20" s="9" t="n">
        <v>375</v>
      </c>
      <c r="F20" s="9">
        <f>Assumptions!$B$6*E20-(ROUND(Assumptions!$B$6*Assumptions!$B$7,0)*E20+Assumptions!$B$6*Assumptions!$B$10+Assumptions!$B$9)</f>
        <v/>
      </c>
    </row>
    <row r="21">
      <c r="E21" s="9" t="n">
        <v>400</v>
      </c>
      <c r="F21" s="9">
        <f>Assumptions!$B$6*E21-(ROUND(Assumptions!$B$6*Assumptions!$B$7,0)*E21+Assumptions!$B$6*Assumptions!$B$10+Assumptions!$B$9)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2026-09-09T02:43:36Z</dcterms:created>
  <dcterms:modified xsi:type="dcterms:W3CDTF">2026-09-09T02:44:10Z</dcterms:modified>
</cp:coreProperties>
</file>