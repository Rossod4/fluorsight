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s" sheetId="1" state="visible" r:id="rId1"/>
    <sheet name="Assumptions" sheetId="2" state="visible" r:id="rId2"/>
    <sheet name="Model" sheetId="3" state="visible" r:id="rId3"/>
    <sheet name="Sensitivity" sheetId="4" state="visible" r:id="rId4"/>
    <sheet name="Pricing 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"/>
    <numFmt numFmtId="165" formatCode="0.0%"/>
  </numFmts>
  <fonts count="12">
    <font>
      <name val="Calibri"/>
      <family val="2"/>
      <color theme="1"/>
      <sz val="11"/>
      <scheme val="minor"/>
    </font>
    <font>
      <b val="1"/>
      <sz val="15"/>
    </font>
    <font>
      <i val="1"/>
      <color rgb="0052514E"/>
      <sz val="10"/>
    </font>
    <font>
      <b val="1"/>
      <color rgb="00FFFFFF"/>
      <sz val="10"/>
    </font>
    <font>
      <b val="1"/>
    </font>
    <font>
      <color rgb="0052514E"/>
      <sz val="9"/>
    </font>
    <font>
      <b val="1"/>
      <color rgb="00B45309"/>
    </font>
    <font>
      <b val="1"/>
      <sz val="11"/>
    </font>
    <font>
      <b val="1"/>
      <color rgb="000B0B0B"/>
    </font>
    <font>
      <b val="1"/>
      <color rgb="000F766E"/>
    </font>
    <font>
      <b val="1"/>
      <color rgb="0052514E"/>
      <sz val="10"/>
    </font>
    <font>
      <i val="1"/>
      <color rgb="0052514E"/>
      <sz val="9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0" borderId="0" applyAlignment="1" pivotButton="0" quotePrefix="0" xfId="0">
      <alignment vertical="top" wrapText="1"/>
    </xf>
    <xf numFmtId="9" fontId="4" fillId="3" borderId="1" pivotButton="0" quotePrefix="0" xfId="0"/>
    <xf numFmtId="164" fontId="4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0" fontId="9" fillId="0" borderId="0" pivotButton="0" quotePrefix="0" xfId="0"/>
    <xf numFmtId="164" fontId="9" fillId="0" borderId="0" pivotButton="0" quotePrefix="0" xfId="0"/>
    <xf numFmtId="165" fontId="9" fillId="0" borderId="0" pivotButton="0" quotePrefix="0" xfId="0"/>
    <xf numFmtId="165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9" fontId="0" fillId="0" borderId="0" pivotButton="0" quotePrefix="0" xfId="0"/>
    <xf numFmtId="0" fontId="4" fillId="0" borderId="0" pivotButton="0" quotePrefix="0" xfId="0"/>
    <xf numFmtId="1" fontId="0" fillId="3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One 500-sample programme: £125,000 becomes £50,000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'Model'!B29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'Model'!$A$30:$A$31</f>
            </numRef>
          </cat>
          <val>
            <numRef>
              <f>'Model'!$B$30:$B$31</f>
            </numRef>
          </val>
        </ser>
        <ser>
          <idx val="1"/>
          <order val="1"/>
          <tx>
            <strRef>
              <f>'Model'!C29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'Model'!$A$30:$A$31</f>
            </numRef>
          </cat>
          <val>
            <numRef>
              <f>'Model'!$C$30:$C$31</f>
            </numRef>
          </val>
        </ser>
        <ser>
          <idx val="2"/>
          <order val="2"/>
          <tx>
            <strRef>
              <f>'Model'!D29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'Model'!$A$30:$A$31</f>
            </numRef>
          </cat>
          <val>
            <numRef>
              <f>'Model'!$D$30:$D$31</f>
            </numRef>
          </val>
        </ser>
        <ser>
          <idx val="3"/>
          <order val="3"/>
          <tx>
            <strRef>
              <f>'Model'!E29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'Model'!$A$30:$A$31</f>
            </numRef>
          </cat>
          <val>
            <numRef>
              <f>'Model'!$E$30:$E$31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Annual cost</a:t>
                </a:r>
              </a:p>
            </rich>
          </tx>
        </title>
        <numFmt formatCode="&quot;£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The saving holds across the rate we are least sure of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'Sensitivity'!C5</f>
            </strRef>
          </tx>
          <spPr>
            <a:ln w="25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'Sensitivity'!$A$6:$A$16</f>
            </numRef>
          </cat>
          <val>
            <numRef>
              <f>'Sensitivity'!$C$6:$C$16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Share of screened samples sent to the lab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Customer saving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Triage stops paying only below ~£62.50 a sample. We assume £250.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'Sensitivity'!F5</f>
            </strRef>
          </tx>
          <spPr>
            <a:ln w="25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'Sensitivity'!$E$6:$E$21</f>
            </numRef>
          </cat>
          <val>
            <numRef>
              <f>'Sensitivity'!$F$6:$F$21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What the laboratory charges per sample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Net saving</a:t>
                </a:r>
              </a:p>
            </rich>
          </tx>
        </title>
        <numFmt formatCode="&quot;£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Small customers: the subscription, not the device, is what hurts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'Sensitivity'!M5</f>
            </strRef>
          </tx>
          <spPr>
            <a:ln w="25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'Sensitivity'!$L$6:$L$13</f>
            </numRef>
          </cat>
          <val>
            <numRef>
              <f>'Sensitivity'!$M$6:$M$13</f>
            </numRef>
          </val>
          <smooth val="0"/>
        </ser>
        <ser>
          <idx val="1"/>
          <order val="1"/>
          <tx>
            <strRef>
              <f>'Sensitivity'!N5</f>
            </strRef>
          </tx>
          <spPr>
            <a:ln w="25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'Sensitivity'!$L$6:$L$13</f>
            </numRef>
          </cat>
          <val>
            <numRef>
              <f>'Sensitivity'!$N$6:$N$13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Customer's annual sample volume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Customer saving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What we charge per refill: their saving against our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'Sensitivity'!I5</f>
            </strRef>
          </tx>
          <spPr>
            <a:ln w="25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'Sensitivity'!$H$6:$H$16</f>
            </numRef>
          </cat>
          <val>
            <numRef>
              <f>'Sensitivity'!$I$6:$I$16</f>
            </numRef>
          </val>
          <smooth val="0"/>
        </ser>
        <ser>
          <idx val="1"/>
          <order val="1"/>
          <tx>
            <strRef>
              <f>'Sensitivity'!J5</f>
            </strRef>
          </tx>
          <spPr>
            <a:ln w="25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'Sensitivity'!$H$6:$H$16</f>
            </numRef>
          </cat>
          <val>
            <numRef>
              <f>'Sensitivity'!$J$6:$J$16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Price we charge per screen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Annual £</a:t>
                </a:r>
              </a:p>
            </rich>
          </tx>
        </title>
        <numFmt formatCode="&quot;£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saving by size — a fixed fee is what breaks the small end</a:t>
            </a:r>
          </a:p>
        </rich>
      </tx>
    </title>
    <plotArea>
      <lineChart>
        <grouping val="standard"/>
        <ser>
          <idx val="0"/>
          <order val="0"/>
          <tx>
            <strRef>
              <f>'Pricing options'!B36</f>
            </strRef>
          </tx>
          <spPr>
            <a:ln w="25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options'!$A$37:$A$45</f>
            </numRef>
          </cat>
          <val>
            <numRef>
              <f>'Pricing options'!$B$37:$B$45</f>
            </numRef>
          </val>
          <smooth val="0"/>
        </ser>
        <ser>
          <idx val="1"/>
          <order val="1"/>
          <tx>
            <strRef>
              <f>'Pricing options'!C36</f>
            </strRef>
          </tx>
          <spPr>
            <a:ln w="25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options'!$A$37:$A$45</f>
            </numRef>
          </cat>
          <val>
            <numRef>
              <f>'Pricing options'!$C$37:$C$45</f>
            </numRef>
          </val>
          <smooth val="0"/>
        </ser>
        <ser>
          <idx val="2"/>
          <order val="2"/>
          <tx>
            <strRef>
              <f>'Pricing options'!D36</f>
            </strRef>
          </tx>
          <spPr>
            <a:ln w="250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options'!$A$37:$A$45</f>
            </numRef>
          </cat>
          <val>
            <numRef>
              <f>'Pricing options'!$D$37:$D$45</f>
            </numRef>
          </val>
          <smooth val="0"/>
        </ser>
        <ser>
          <idx val="3"/>
          <order val="3"/>
          <tx>
            <strRef>
              <f>'Pricing options'!E36</f>
            </strRef>
          </tx>
          <spPr>
            <a:ln w="25000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options'!$A$37:$A$45</f>
            </numRef>
          </cat>
          <val>
            <numRef>
              <f>'Pricing options'!$E$37:$E$45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Customer's annual sample volume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Customer saving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Effective cost per screen against the price of one lab test</a:t>
            </a:r>
          </a:p>
        </rich>
      </tx>
    </title>
    <plotArea>
      <lineChart>
        <grouping val="standard"/>
        <ser>
          <idx val="0"/>
          <order val="0"/>
          <tx>
            <strRef>
              <f>'Pricing options'!B49</f>
            </strRef>
          </tx>
          <spPr>
            <a:ln w="25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options'!$A$50:$A$58</f>
            </numRef>
          </cat>
          <val>
            <numRef>
              <f>'Pricing options'!$B$50:$B$58</f>
            </numRef>
          </val>
          <smooth val="0"/>
        </ser>
        <ser>
          <idx val="1"/>
          <order val="1"/>
          <tx>
            <strRef>
              <f>'Pricing options'!C49</f>
            </strRef>
          </tx>
          <spPr>
            <a:ln w="25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options'!$A$50:$A$58</f>
            </numRef>
          </cat>
          <val>
            <numRef>
              <f>'Pricing options'!$C$50:$C$58</f>
            </numRef>
          </val>
          <smooth val="0"/>
        </ser>
        <ser>
          <idx val="2"/>
          <order val="2"/>
          <tx>
            <strRef>
              <f>'Pricing options'!D49</f>
            </strRef>
          </tx>
          <spPr>
            <a:ln w="250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options'!$A$50:$A$58</f>
            </numRef>
          </cat>
          <val>
            <numRef>
              <f>'Pricing options'!$D$50:$D$58</f>
            </numRef>
          </val>
          <smooth val="0"/>
        </ser>
        <ser>
          <idx val="3"/>
          <order val="3"/>
          <tx>
            <strRef>
              <f>'Pricing options'!E49</f>
            </strRef>
          </tx>
          <spPr>
            <a:ln w="25000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options'!$A$50:$A$58</f>
            </numRef>
          </cat>
          <val>
            <numRef>
              <f>'Pricing options'!$E$50:$E$58</f>
            </numRef>
          </val>
          <smooth val="0"/>
        </ser>
        <ser>
          <idx val="4"/>
          <order val="4"/>
          <tx>
            <strRef>
              <f>'Pricing options'!F49</f>
            </strRef>
          </tx>
          <spPr>
            <a:ln w="20000">
              <a:solidFill>
                <a:srgbClr val="94A3B8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'Pricing options'!$A$50:$A$58</f>
            </numRef>
          </cat>
          <val>
            <numRef>
              <f>'Pricing options'!$F$50:$F$58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Customer's annual sample volume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Cost per screen</a:t>
                </a:r>
              </a:p>
            </rich>
          </tx>
        </title>
        <numFmt formatCode="&quot;£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54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3</row>
      <rowOff>0</rowOff>
    </from>
    <ext cx="540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21</row>
      <rowOff>0</rowOff>
    </from>
    <ext cx="540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21</row>
      <rowOff>0</rowOff>
    </from>
    <ext cx="540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39</row>
      <rowOff>0</rowOff>
    </from>
    <ext cx="5400000" cy="30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4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540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>
      <c r="A1" s="1" t="inlineStr">
        <is>
          <t>Charts — copy any of these straight into PowerPoint</t>
        </is>
      </c>
    </row>
    <row r="2">
      <c r="A2" s="2" t="inlineStr">
        <is>
          <t>Right-click → Copy, paste into a slide. They stay linked to this workbook, so changing an assumption updates the slide. Data is on the Model and Sensitivity sheets.</t>
        </is>
      </c>
    </row>
    <row r="4">
      <c r="A4" s="2" t="inlineStr">
        <is>
          <t>Two more charts live on the 'Pricing options' sheet, next to the tier table they respond to.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3" customWidth="1" min="4" max="4"/>
    <col width="74" customWidth="1" min="5" max="5"/>
  </cols>
  <sheetData>
    <row r="1">
      <c r="A1" s="1" t="inlineStr">
        <is>
          <t>Fluorsight — business model assumptions</t>
        </is>
      </c>
    </row>
    <row r="2">
      <c r="A2" s="2" t="inlineStr">
        <is>
          <t>Change any yellow cell. Everything else in this workbook is a formula and will follow.</t>
        </is>
      </c>
    </row>
    <row r="5">
      <c r="A5" s="3" t="inlineStr">
        <is>
          <t>Input</t>
        </is>
      </c>
      <c r="B5" s="3" t="inlineStr">
        <is>
          <t>Value</t>
        </is>
      </c>
      <c r="C5" s="3" t="inlineStr">
        <is>
          <t>Unit</t>
        </is>
      </c>
      <c r="D5" s="3" t="inlineStr">
        <is>
          <t>Status</t>
        </is>
      </c>
      <c r="E5" s="3" t="inlineStr">
        <is>
          <t>Where it comes from</t>
        </is>
      </c>
    </row>
    <row r="6">
      <c r="A6" t="inlineStr">
        <is>
          <t>Portfolio size</t>
        </is>
      </c>
      <c r="B6" s="4" t="n">
        <v>500</v>
      </c>
      <c r="C6" t="inlineStr">
        <is>
          <t>samples / year</t>
        </is>
      </c>
      <c r="D6" t="inlineStr">
        <is>
          <t>MODELLED</t>
        </is>
      </c>
      <c r="E6" s="5" t="inlineStr">
        <is>
          <t>Illustrative annual programme for one customer. Our choice.</t>
        </is>
      </c>
    </row>
    <row r="7">
      <c r="A7" t="inlineStr">
        <is>
          <t>Escalation rate</t>
        </is>
      </c>
      <c r="B7" s="6" t="n">
        <v>0.2</v>
      </c>
      <c r="C7" t="inlineStr">
        <is>
          <t>share screened</t>
        </is>
      </c>
      <c r="D7" t="inlineStr">
        <is>
          <t>MODELLED</t>
        </is>
      </c>
      <c r="E7" s="5" t="inlineStr">
        <is>
          <t>The weakest assumption in the model. See Sensitivity table A.</t>
        </is>
      </c>
    </row>
    <row r="8">
      <c r="A8" t="inlineStr">
        <is>
          <t>Lab cost per sample</t>
        </is>
      </c>
      <c r="B8" s="7" t="n">
        <v>250</v>
      </c>
      <c r="C8" t="inlineStr">
        <is>
          <t>£ / sample</t>
        </is>
      </c>
      <c r="D8" t="inlineStr">
        <is>
          <t>MODELLED</t>
        </is>
      </c>
      <c r="E8" s="5" t="inlineStr">
        <is>
          <t>No UK lab publishes a rate card — 7 providers' published pricing checked, all quote on request.</t>
        </is>
      </c>
    </row>
    <row r="9">
      <c r="A9" t="inlineStr">
        <is>
          <t>Annual subscription</t>
        </is>
      </c>
      <c r="B9" s="7" t="n">
        <v>5000</v>
      </c>
      <c r="C9" t="inlineStr">
        <is>
          <t>£ / year</t>
        </is>
      </c>
      <c r="D9" t="inlineStr">
        <is>
          <t>MODELLED</t>
        </is>
      </c>
      <c r="E9" s="5" t="inlineStr">
        <is>
          <t>Pricing decision. Set to 0 to model pure device-and-refills — see Sensitivity table D.</t>
        </is>
      </c>
    </row>
    <row r="10">
      <c r="A10" t="inlineStr">
        <is>
          <t>Refill price to customer</t>
        </is>
      </c>
      <c r="B10" s="7" t="n">
        <v>40</v>
      </c>
      <c r="C10" t="inlineStr">
        <is>
          <t>£ / sample</t>
        </is>
      </c>
      <c r="D10" t="inlineStr">
        <is>
          <t>MODELLED</t>
        </is>
      </c>
      <c r="E10" s="5" t="inlineStr">
        <is>
          <t>What we charge per screen. A price, not a cost.</t>
        </is>
      </c>
    </row>
    <row r="11">
      <c r="A11" t="inlineStr">
        <is>
          <t>Refill cost to us</t>
        </is>
      </c>
      <c r="B11" s="7" t="n">
        <v>1</v>
      </c>
      <c r="C11" t="inlineStr">
        <is>
          <t>£ / sample</t>
        </is>
      </c>
      <c r="D11" t="inlineStr">
        <is>
          <t>MODELLED</t>
        </is>
      </c>
      <c r="E11" s="5" t="inlineStr">
        <is>
          <t>Dom &amp; Evan build costing, Sept 2026. Rounded up — their estimate was nearer 50p.</t>
        </is>
      </c>
    </row>
    <row r="12">
      <c r="A12" t="inlineStr">
        <is>
          <t>Device cost to us</t>
        </is>
      </c>
      <c r="B12" s="7" t="n">
        <v>40</v>
      </c>
      <c r="C12" t="inlineStr">
        <is>
          <t>£ / device</t>
        </is>
      </c>
      <c r="D12" t="inlineStr">
        <is>
          <t>MODELLED</t>
        </is>
      </c>
      <c r="E12" s="5" t="inlineStr">
        <is>
          <t>Dom &amp; Evan build costing, Sept 2026.</t>
        </is>
      </c>
    </row>
    <row r="13">
      <c r="A13" t="inlineStr">
        <is>
          <t>Device price to customer</t>
        </is>
      </c>
      <c r="B13" s="7" t="n">
        <v>150</v>
      </c>
      <c r="C13" t="inlineStr">
        <is>
          <t>£ / device</t>
        </is>
      </c>
      <c r="D13" s="8" t="inlineStr">
        <is>
          <t>ASSUMED</t>
        </is>
      </c>
      <c r="E13" s="5" t="inlineStr">
        <is>
          <t>PLACEHOLDER — no pricing decision has been made. Change this.</t>
        </is>
      </c>
    </row>
    <row r="14">
      <c r="A14" t="inlineStr">
        <is>
          <t>Devices per customer</t>
        </is>
      </c>
      <c r="B14" s="4" t="n">
        <v>1</v>
      </c>
      <c r="C14" t="inlineStr">
        <is>
          <t>devices</t>
        </is>
      </c>
      <c r="D14" s="8" t="inlineStr">
        <is>
          <t>ASSUMED</t>
        </is>
      </c>
      <c r="E14" s="5" t="inlineStr">
        <is>
          <t>PLACEHOLDER — one reader per customer. A field team may need several.</t>
        </is>
      </c>
    </row>
    <row r="16">
      <c r="A16" s="9" t="inlineStr">
        <is>
          <t>Reference — context, not inputs</t>
        </is>
      </c>
    </row>
    <row r="17">
      <c r="A17" t="inlineStr">
        <is>
          <t>Lab turnaround</t>
        </is>
      </c>
      <c r="B17" t="inlineStr">
        <is>
          <t>10–15 working days</t>
        </is>
      </c>
      <c r="D17" t="inlineStr">
        <is>
          <t>PUBLISHED</t>
        </is>
      </c>
      <c r="E17" s="5" t="inlineStr">
        <is>
          <t>SOCOTEC UK PFAS page, checked Sept 2026.</t>
        </is>
      </c>
    </row>
    <row r="18">
      <c r="A18" t="inlineStr">
        <is>
          <t>Published water price (Finland)</t>
        </is>
      </c>
      <c r="B18" t="inlineStr">
        <is>
          <t>€175–300 / sample</t>
        </is>
      </c>
      <c r="D18" t="inlineStr">
        <is>
          <t>PUBLISHED</t>
        </is>
      </c>
      <c r="E18" s="5" t="inlineStr">
        <is>
          <t>Measurlabs list price. Not UK, not like-for-like scope.</t>
        </is>
      </c>
    </row>
    <row r="19">
      <c r="A19" t="inlineStr">
        <is>
          <t>Nearest published UK figure</t>
        </is>
      </c>
      <c r="B19" t="inlineStr">
        <is>
          <t>£350 / sample</t>
        </is>
      </c>
      <c r="D19" t="inlineStr">
        <is>
          <t>PUBLISHED</t>
        </is>
      </c>
      <c r="E19" s="5" t="inlineStr">
        <is>
          <t>EIA to Commons EAC, May 2025 — SOIL, explicitly excludes water. Does NOT validate the £250.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72" customWidth="1" min="3" max="3"/>
  </cols>
  <sheetData>
    <row r="1">
      <c r="A1" s="1" t="inlineStr">
        <is>
          <t>The model — one customer, one year</t>
        </is>
      </c>
    </row>
    <row r="2">
      <c r="A2" s="2" t="inlineStr">
        <is>
          <t>Every cell is a formula off the Assumptions sheet.</t>
        </is>
      </c>
    </row>
    <row r="5">
      <c r="A5" s="3" t="inlineStr">
        <is>
          <t>What the customer pays</t>
        </is>
      </c>
      <c r="B5" s="3" t="n"/>
      <c r="C5" s="3" t="n"/>
    </row>
    <row r="6">
      <c r="A6" t="inlineStr">
        <is>
          <t>Testing everything at the lab</t>
        </is>
      </c>
      <c r="B6" s="10">
        <f>Assumptions!B6*Assumptions!B8</f>
        <v/>
      </c>
      <c r="C6" s="5" t="inlineStr">
        <is>
          <t>The do-nothing baseline: portfolio × lab cost.</t>
        </is>
      </c>
    </row>
    <row r="7">
      <c r="A7" t="inlineStr">
        <is>
          <t>Samples escalated to the lab</t>
        </is>
      </c>
      <c r="B7" s="11">
        <f>ROUND(Assumptions!B6*Assumptions!B7,0)</f>
        <v/>
      </c>
    </row>
    <row r="8">
      <c r="A8" t="inlineStr">
        <is>
          <t xml:space="preserve">  Lab spend under triage</t>
        </is>
      </c>
      <c r="B8" s="10">
        <f>B7*Assumptions!B8</f>
        <v/>
      </c>
    </row>
    <row r="9">
      <c r="A9" t="inlineStr">
        <is>
          <t xml:space="preserve">  Screening refills</t>
        </is>
      </c>
      <c r="B9" s="10">
        <f>Assumptions!B6*Assumptions!B10</f>
        <v/>
      </c>
      <c r="C9" s="5" t="inlineStr">
        <is>
          <t>Every sample is screened, so this is the whole portfolio.</t>
        </is>
      </c>
    </row>
    <row r="10">
      <c r="A10" t="inlineStr">
        <is>
          <t xml:space="preserve">  Software subscription</t>
        </is>
      </c>
      <c r="B10" s="10">
        <f>Assumptions!B9</f>
        <v/>
      </c>
    </row>
    <row r="11">
      <c r="A11" t="inlineStr">
        <is>
          <t xml:space="preserve">  Devices</t>
        </is>
      </c>
      <c r="B11" s="10">
        <f>Assumptions!B13*Assumptions!B14</f>
        <v/>
      </c>
      <c r="C11" s="5" t="inlineStr">
        <is>
          <t>One-off. A durable reader, not a per-year cost.</t>
        </is>
      </c>
    </row>
    <row r="12">
      <c r="A12" s="12" t="inlineStr">
        <is>
          <t>Total with Fluorsight</t>
        </is>
      </c>
      <c r="B12" s="13">
        <f>B8+B9+B10+B11</f>
        <v/>
      </c>
    </row>
    <row r="13">
      <c r="A13" s="14" t="inlineStr">
        <is>
          <t>Customer saving</t>
        </is>
      </c>
      <c r="B13" s="15">
        <f>B6-B12</f>
        <v/>
      </c>
    </row>
    <row r="14">
      <c r="A14" s="14" t="inlineStr">
        <is>
          <t>Saving as a share</t>
        </is>
      </c>
      <c r="B14" s="16">
        <f>B13/B6</f>
        <v/>
      </c>
    </row>
    <row r="16">
      <c r="A16" s="3" t="inlineStr">
        <is>
          <t>What it means for us</t>
        </is>
      </c>
      <c r="B16" s="3" t="n"/>
      <c r="C16" s="3" t="n"/>
    </row>
    <row r="17">
      <c r="A17" t="inlineStr">
        <is>
          <t>Revenue</t>
        </is>
      </c>
      <c r="B17" s="10">
        <f>Assumptions!B9+Assumptions!B6*Assumptions!B10+Assumptions!B13*Assumptions!B14</f>
        <v/>
      </c>
      <c r="C17" s="5" t="inlineStr">
        <is>
          <t>Subscription + refills + device sale.</t>
        </is>
      </c>
    </row>
    <row r="18">
      <c r="A18" t="inlineStr">
        <is>
          <t>Cost of goods</t>
        </is>
      </c>
      <c r="B18" s="10">
        <f>Assumptions!B6*Assumptions!B11+Assumptions!B14*Assumptions!B12</f>
        <v/>
      </c>
      <c r="C18" s="5" t="inlineStr">
        <is>
          <t>Refills + devices, at our cost.</t>
        </is>
      </c>
    </row>
    <row r="19">
      <c r="A19" s="12" t="inlineStr">
        <is>
          <t>Gross profit</t>
        </is>
      </c>
      <c r="B19" s="13">
        <f>B17-B18</f>
        <v/>
      </c>
    </row>
    <row r="20">
      <c r="A20" t="inlineStr">
        <is>
          <t>Gross margin</t>
        </is>
      </c>
      <c r="B20" s="17">
        <f>B19/B17</f>
        <v/>
      </c>
    </row>
    <row r="21">
      <c r="A21" t="inlineStr">
        <is>
          <t xml:space="preserve">  margin on the device alone</t>
        </is>
      </c>
      <c r="B21" s="10">
        <f>Assumptions!B14*(Assumptions!B13-Assumptions!B12)</f>
        <v/>
      </c>
    </row>
    <row r="22">
      <c r="A22" t="inlineStr">
        <is>
          <t xml:space="preserve">  device as a share of revenue</t>
        </is>
      </c>
      <c r="B22" s="17">
        <f>Assumptions!B13*Assumptions!B14/B17</f>
        <v/>
      </c>
      <c r="C22" s="5" t="inlineStr">
        <is>
          <t>If this reads ~1%, the razor-and-blades story is about the refills, not the razor.</t>
        </is>
      </c>
    </row>
    <row r="24">
      <c r="A24" s="3" t="inlineStr">
        <is>
          <t>The robustness test</t>
        </is>
      </c>
      <c r="B24" s="3" t="n"/>
      <c r="C24" s="3" t="n"/>
    </row>
    <row r="25">
      <c r="A25" t="inlineStr">
        <is>
          <t>Break-even lab cost</t>
        </is>
      </c>
      <c r="B25" s="10">
        <f>(Assumptions!B6*Assumptions!B10+Assumptions!B9+Assumptions!B13*Assumptions!B14)/(Assumptions!B6*(1-Assumptions!B7))</f>
        <v/>
      </c>
      <c r="C25" s="5" t="inlineStr">
        <is>
          <t>Triage stops paying only if lab analysis falls below this. We assume £250, so the conclusion survives being badly wrong.</t>
        </is>
      </c>
    </row>
    <row r="28">
      <c r="A28" s="18" t="inlineStr">
        <is>
          <t>Chart data — cost comparison</t>
        </is>
      </c>
    </row>
    <row r="29">
      <c r="A29" t="inlineStr"/>
      <c r="B29" t="inlineStr">
        <is>
          <t>Lab analysis</t>
        </is>
      </c>
      <c r="C29" t="inlineStr">
        <is>
          <t>Refills</t>
        </is>
      </c>
      <c r="D29" t="inlineStr">
        <is>
          <t>Subscription</t>
        </is>
      </c>
      <c r="E29" t="inlineStr">
        <is>
          <t>Devices</t>
        </is>
      </c>
    </row>
    <row r="30">
      <c r="A30" t="inlineStr">
        <is>
          <t>Test everything</t>
        </is>
      </c>
      <c r="B30" s="10">
        <f>B6</f>
        <v/>
      </c>
      <c r="C30" s="10" t="n">
        <v>0</v>
      </c>
      <c r="D30" s="10" t="n">
        <v>0</v>
      </c>
      <c r="E30" s="10" t="n">
        <v>0</v>
      </c>
    </row>
    <row r="31">
      <c r="A31" t="inlineStr">
        <is>
          <t>With Fluorsight</t>
        </is>
      </c>
      <c r="B31" s="10">
        <f>B8</f>
        <v/>
      </c>
      <c r="C31" s="10">
        <f>B9</f>
        <v/>
      </c>
      <c r="D31" s="10">
        <f>B10</f>
        <v/>
      </c>
      <c r="E31" s="10">
        <f>B11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1" customWidth="1" min="3" max="3"/>
    <col width="3" customWidth="1" min="4" max="4"/>
    <col width="19" customWidth="1" min="5" max="5"/>
    <col width="17" customWidth="1" min="6" max="6"/>
    <col width="3" customWidth="1" min="7" max="7"/>
    <col width="17" customWidth="1" min="8" max="8"/>
    <col width="19" customWidth="1" min="9" max="9"/>
    <col width="17" customWidth="1" min="10" max="10"/>
    <col width="3" customWidth="1" min="11" max="11"/>
    <col width="15" customWidth="1" min="12" max="12"/>
    <col width="24" customWidth="1" min="13" max="13"/>
    <col width="22" customWidth="1" min="14" max="14"/>
  </cols>
  <sheetData>
    <row r="1">
      <c r="A1" s="1" t="inlineStr">
        <is>
          <t>Sensitivity — what happens when the assumptions are wrong</t>
        </is>
      </c>
    </row>
    <row r="2">
      <c r="A2" s="2" t="inlineStr">
        <is>
          <t>All live off the Assumptions sheet. These four tables feed the charts.</t>
        </is>
      </c>
    </row>
    <row r="3">
      <c r="L3" s="19" t="inlineStr">
        <is>
          <t>The subscription is fixed, so it swamps a small programme. Set the subscription to 0 and watch the blue line flatten onto the orange one.</t>
        </is>
      </c>
    </row>
    <row r="4">
      <c r="A4" s="9" t="inlineStr">
        <is>
          <t>A · If more samples escalate than we assume</t>
        </is>
      </c>
      <c r="E4" s="9" t="inlineStr">
        <is>
          <t>B · Break-even — how cheap would the lab have to get?</t>
        </is>
      </c>
      <c r="H4" s="9" t="inlineStr">
        <is>
          <t>C · What we charge per refill</t>
        </is>
      </c>
      <c r="L4" s="9" t="inlineStr">
        <is>
          <t>D · Does the saving hold for a SMALL customer?</t>
        </is>
      </c>
    </row>
    <row r="5">
      <c r="A5" s="3" t="inlineStr">
        <is>
          <t>Escalation rate</t>
        </is>
      </c>
      <c r="B5" s="3" t="inlineStr">
        <is>
          <t>Customer saving (£)</t>
        </is>
      </c>
      <c r="C5" s="3" t="inlineStr">
        <is>
          <t>Saving (%)</t>
        </is>
      </c>
      <c r="E5" s="3" t="inlineStr">
        <is>
          <t>Lab cost (£/sample)</t>
        </is>
      </c>
      <c r="F5" s="3" t="inlineStr">
        <is>
          <t>Net saving (£)</t>
        </is>
      </c>
      <c r="H5" s="3" t="inlineStr">
        <is>
          <t>Refill price (£)</t>
        </is>
      </c>
      <c r="I5" s="3" t="inlineStr">
        <is>
          <t>Customer saving (£)</t>
        </is>
      </c>
      <c r="J5" s="3" t="inlineStr">
        <is>
          <t>Our revenue (£)</t>
        </is>
      </c>
      <c r="L5" s="3" t="inlineStr">
        <is>
          <t>Samples / year</t>
        </is>
      </c>
      <c r="M5" s="3" t="inlineStr">
        <is>
          <t>Saving with subscription</t>
        </is>
      </c>
      <c r="N5" s="3" t="inlineStr">
        <is>
          <t>Saving, refills only</t>
        </is>
      </c>
    </row>
    <row r="6">
      <c r="A6" s="20" t="n">
        <v>0.05</v>
      </c>
      <c r="B6" s="10">
        <f>Model!$B$6-(ROUND(Assumptions!$B$6*A6,0)*Assumptions!$B$8+Model!$B$9+Model!$B$10+Model!$B$11)</f>
        <v/>
      </c>
      <c r="C6" s="17">
        <f>B6/Model!$B$6</f>
        <v/>
      </c>
      <c r="E6" s="10" t="n">
        <v>25</v>
      </c>
      <c r="F6" s="10">
        <f>Assumptions!$B$6*E6-(ROUND(Assumptions!$B$6*Assumptions!$B$7,0)*E6+Model!$B$9+Model!$B$10+Model!$B$11)</f>
        <v/>
      </c>
      <c r="H6" s="10" t="n">
        <v>1</v>
      </c>
      <c r="I6" s="10">
        <f>Model!$B$6-(Model!$B$8+Assumptions!$B$6*H6+Model!$B$10+Model!$B$11)</f>
        <v/>
      </c>
      <c r="J6" s="10">
        <f>Assumptions!$B$9+Assumptions!$B$6*H6+Model!$B$11</f>
        <v/>
      </c>
      <c r="L6" t="n">
        <v>25</v>
      </c>
      <c r="M6" s="17">
        <f>(L6*Assumptions!$B$8-(ROUND(L6*Assumptions!$B$7,0)*Assumptions!$B$8+L6*Assumptions!$B$10+Assumptions!$B$9+Model!$B$11))/(L6*Assumptions!$B$8)</f>
        <v/>
      </c>
      <c r="N6" s="17">
        <f>(L6*Assumptions!$B$8-(ROUND(L6*Assumptions!$B$7,0)*Assumptions!$B$8+L6*Assumptions!$B$10+Model!$B$11))/(L6*Assumptions!$B$8)</f>
        <v/>
      </c>
    </row>
    <row r="7">
      <c r="A7" s="20" t="n">
        <v>0.1</v>
      </c>
      <c r="B7" s="10">
        <f>Model!$B$6-(ROUND(Assumptions!$B$6*A7,0)*Assumptions!$B$8+Model!$B$9+Model!$B$10+Model!$B$11)</f>
        <v/>
      </c>
      <c r="C7" s="17">
        <f>B7/Model!$B$6</f>
        <v/>
      </c>
      <c r="E7" s="10" t="n">
        <v>50</v>
      </c>
      <c r="F7" s="10">
        <f>Assumptions!$B$6*E7-(ROUND(Assumptions!$B$6*Assumptions!$B$7,0)*E7+Model!$B$9+Model!$B$10+Model!$B$11)</f>
        <v/>
      </c>
      <c r="H7" s="10" t="n">
        <v>2</v>
      </c>
      <c r="I7" s="10">
        <f>Model!$B$6-(Model!$B$8+Assumptions!$B$6*H7+Model!$B$10+Model!$B$11)</f>
        <v/>
      </c>
      <c r="J7" s="10">
        <f>Assumptions!$B$9+Assumptions!$B$6*H7+Model!$B$11</f>
        <v/>
      </c>
      <c r="L7" t="n">
        <v>50</v>
      </c>
      <c r="M7" s="17">
        <f>(L7*Assumptions!$B$8-(ROUND(L7*Assumptions!$B$7,0)*Assumptions!$B$8+L7*Assumptions!$B$10+Assumptions!$B$9+Model!$B$11))/(L7*Assumptions!$B$8)</f>
        <v/>
      </c>
      <c r="N7" s="17">
        <f>(L7*Assumptions!$B$8-(ROUND(L7*Assumptions!$B$7,0)*Assumptions!$B$8+L7*Assumptions!$B$10+Model!$B$11))/(L7*Assumptions!$B$8)</f>
        <v/>
      </c>
    </row>
    <row r="8">
      <c r="A8" s="20" t="n">
        <v>0.15</v>
      </c>
      <c r="B8" s="10">
        <f>Model!$B$6-(ROUND(Assumptions!$B$6*A8,0)*Assumptions!$B$8+Model!$B$9+Model!$B$10+Model!$B$11)</f>
        <v/>
      </c>
      <c r="C8" s="17">
        <f>B8/Model!$B$6</f>
        <v/>
      </c>
      <c r="E8" s="10" t="n">
        <v>75</v>
      </c>
      <c r="F8" s="10">
        <f>Assumptions!$B$6*E8-(ROUND(Assumptions!$B$6*Assumptions!$B$7,0)*E8+Model!$B$9+Model!$B$10+Model!$B$11)</f>
        <v/>
      </c>
      <c r="H8" s="10" t="n">
        <v>5</v>
      </c>
      <c r="I8" s="10">
        <f>Model!$B$6-(Model!$B$8+Assumptions!$B$6*H8+Model!$B$10+Model!$B$11)</f>
        <v/>
      </c>
      <c r="J8" s="10">
        <f>Assumptions!$B$9+Assumptions!$B$6*H8+Model!$B$11</f>
        <v/>
      </c>
      <c r="L8" t="n">
        <v>100</v>
      </c>
      <c r="M8" s="17">
        <f>(L8*Assumptions!$B$8-(ROUND(L8*Assumptions!$B$7,0)*Assumptions!$B$8+L8*Assumptions!$B$10+Assumptions!$B$9+Model!$B$11))/(L8*Assumptions!$B$8)</f>
        <v/>
      </c>
      <c r="N8" s="17">
        <f>(L8*Assumptions!$B$8-(ROUND(L8*Assumptions!$B$7,0)*Assumptions!$B$8+L8*Assumptions!$B$10+Model!$B$11))/(L8*Assumptions!$B$8)</f>
        <v/>
      </c>
    </row>
    <row r="9">
      <c r="A9" s="20" t="n">
        <v>0.2</v>
      </c>
      <c r="B9" s="10">
        <f>Model!$B$6-(ROUND(Assumptions!$B$6*A9,0)*Assumptions!$B$8+Model!$B$9+Model!$B$10+Model!$B$11)</f>
        <v/>
      </c>
      <c r="C9" s="17">
        <f>B9/Model!$B$6</f>
        <v/>
      </c>
      <c r="E9" s="10" t="n">
        <v>100</v>
      </c>
      <c r="F9" s="10">
        <f>Assumptions!$B$6*E9-(ROUND(Assumptions!$B$6*Assumptions!$B$7,0)*E9+Model!$B$9+Model!$B$10+Model!$B$11)</f>
        <v/>
      </c>
      <c r="H9" s="10" t="n">
        <v>10</v>
      </c>
      <c r="I9" s="10">
        <f>Model!$B$6-(Model!$B$8+Assumptions!$B$6*H9+Model!$B$10+Model!$B$11)</f>
        <v/>
      </c>
      <c r="J9" s="10">
        <f>Assumptions!$B$9+Assumptions!$B$6*H9+Model!$B$11</f>
        <v/>
      </c>
      <c r="L9" t="n">
        <v>200</v>
      </c>
      <c r="M9" s="17">
        <f>(L9*Assumptions!$B$8-(ROUND(L9*Assumptions!$B$7,0)*Assumptions!$B$8+L9*Assumptions!$B$10+Assumptions!$B$9+Model!$B$11))/(L9*Assumptions!$B$8)</f>
        <v/>
      </c>
      <c r="N9" s="17">
        <f>(L9*Assumptions!$B$8-(ROUND(L9*Assumptions!$B$7,0)*Assumptions!$B$8+L9*Assumptions!$B$10+Model!$B$11))/(L9*Assumptions!$B$8)</f>
        <v/>
      </c>
    </row>
    <row r="10">
      <c r="A10" s="20" t="n">
        <v>0.25</v>
      </c>
      <c r="B10" s="10">
        <f>Model!$B$6-(ROUND(Assumptions!$B$6*A10,0)*Assumptions!$B$8+Model!$B$9+Model!$B$10+Model!$B$11)</f>
        <v/>
      </c>
      <c r="C10" s="17">
        <f>B10/Model!$B$6</f>
        <v/>
      </c>
      <c r="E10" s="10" t="n">
        <v>125</v>
      </c>
      <c r="F10" s="10">
        <f>Assumptions!$B$6*E10-(ROUND(Assumptions!$B$6*Assumptions!$B$7,0)*E10+Model!$B$9+Model!$B$10+Model!$B$11)</f>
        <v/>
      </c>
      <c r="H10" s="10" t="n">
        <v>15</v>
      </c>
      <c r="I10" s="10">
        <f>Model!$B$6-(Model!$B$8+Assumptions!$B$6*H10+Model!$B$10+Model!$B$11)</f>
        <v/>
      </c>
      <c r="J10" s="10">
        <f>Assumptions!$B$9+Assumptions!$B$6*H10+Model!$B$11</f>
        <v/>
      </c>
      <c r="L10" t="n">
        <v>300</v>
      </c>
      <c r="M10" s="17">
        <f>(L10*Assumptions!$B$8-(ROUND(L10*Assumptions!$B$7,0)*Assumptions!$B$8+L10*Assumptions!$B$10+Assumptions!$B$9+Model!$B$11))/(L10*Assumptions!$B$8)</f>
        <v/>
      </c>
      <c r="N10" s="17">
        <f>(L10*Assumptions!$B$8-(ROUND(L10*Assumptions!$B$7,0)*Assumptions!$B$8+L10*Assumptions!$B$10+Model!$B$11))/(L10*Assumptions!$B$8)</f>
        <v/>
      </c>
    </row>
    <row r="11">
      <c r="A11" s="20" t="n">
        <v>0.3</v>
      </c>
      <c r="B11" s="10">
        <f>Model!$B$6-(ROUND(Assumptions!$B$6*A11,0)*Assumptions!$B$8+Model!$B$9+Model!$B$10+Model!$B$11)</f>
        <v/>
      </c>
      <c r="C11" s="17">
        <f>B11/Model!$B$6</f>
        <v/>
      </c>
      <c r="E11" s="10" t="n">
        <v>150</v>
      </c>
      <c r="F11" s="10">
        <f>Assumptions!$B$6*E11-(ROUND(Assumptions!$B$6*Assumptions!$B$7,0)*E11+Model!$B$9+Model!$B$10+Model!$B$11)</f>
        <v/>
      </c>
      <c r="H11" s="10" t="n">
        <v>20</v>
      </c>
      <c r="I11" s="10">
        <f>Model!$B$6-(Model!$B$8+Assumptions!$B$6*H11+Model!$B$10+Model!$B$11)</f>
        <v/>
      </c>
      <c r="J11" s="10">
        <f>Assumptions!$B$9+Assumptions!$B$6*H11+Model!$B$11</f>
        <v/>
      </c>
      <c r="L11" t="n">
        <v>500</v>
      </c>
      <c r="M11" s="17">
        <f>(L11*Assumptions!$B$8-(ROUND(L11*Assumptions!$B$7,0)*Assumptions!$B$8+L11*Assumptions!$B$10+Assumptions!$B$9+Model!$B$11))/(L11*Assumptions!$B$8)</f>
        <v/>
      </c>
      <c r="N11" s="17">
        <f>(L11*Assumptions!$B$8-(ROUND(L11*Assumptions!$B$7,0)*Assumptions!$B$8+L11*Assumptions!$B$10+Model!$B$11))/(L11*Assumptions!$B$8)</f>
        <v/>
      </c>
    </row>
    <row r="12">
      <c r="A12" s="20" t="n">
        <v>0.35</v>
      </c>
      <c r="B12" s="10">
        <f>Model!$B$6-(ROUND(Assumptions!$B$6*A12,0)*Assumptions!$B$8+Model!$B$9+Model!$B$10+Model!$B$11)</f>
        <v/>
      </c>
      <c r="C12" s="17">
        <f>B12/Model!$B$6</f>
        <v/>
      </c>
      <c r="E12" s="10" t="n">
        <v>175</v>
      </c>
      <c r="F12" s="10">
        <f>Assumptions!$B$6*E12-(ROUND(Assumptions!$B$6*Assumptions!$B$7,0)*E12+Model!$B$9+Model!$B$10+Model!$B$11)</f>
        <v/>
      </c>
      <c r="H12" s="10" t="n">
        <v>25</v>
      </c>
      <c r="I12" s="10">
        <f>Model!$B$6-(Model!$B$8+Assumptions!$B$6*H12+Model!$B$10+Model!$B$11)</f>
        <v/>
      </c>
      <c r="J12" s="10">
        <f>Assumptions!$B$9+Assumptions!$B$6*H12+Model!$B$11</f>
        <v/>
      </c>
      <c r="L12" t="n">
        <v>750</v>
      </c>
      <c r="M12" s="17">
        <f>(L12*Assumptions!$B$8-(ROUND(L12*Assumptions!$B$7,0)*Assumptions!$B$8+L12*Assumptions!$B$10+Assumptions!$B$9+Model!$B$11))/(L12*Assumptions!$B$8)</f>
        <v/>
      </c>
      <c r="N12" s="17">
        <f>(L12*Assumptions!$B$8-(ROUND(L12*Assumptions!$B$7,0)*Assumptions!$B$8+L12*Assumptions!$B$10+Model!$B$11))/(L12*Assumptions!$B$8)</f>
        <v/>
      </c>
    </row>
    <row r="13">
      <c r="A13" s="20" t="n">
        <v>0.4</v>
      </c>
      <c r="B13" s="10">
        <f>Model!$B$6-(ROUND(Assumptions!$B$6*A13,0)*Assumptions!$B$8+Model!$B$9+Model!$B$10+Model!$B$11)</f>
        <v/>
      </c>
      <c r="C13" s="17">
        <f>B13/Model!$B$6</f>
        <v/>
      </c>
      <c r="E13" s="10" t="n">
        <v>200</v>
      </c>
      <c r="F13" s="10">
        <f>Assumptions!$B$6*E13-(ROUND(Assumptions!$B$6*Assumptions!$B$7,0)*E13+Model!$B$9+Model!$B$10+Model!$B$11)</f>
        <v/>
      </c>
      <c r="H13" s="10" t="n">
        <v>30</v>
      </c>
      <c r="I13" s="10">
        <f>Model!$B$6-(Model!$B$8+Assumptions!$B$6*H13+Model!$B$10+Model!$B$11)</f>
        <v/>
      </c>
      <c r="J13" s="10">
        <f>Assumptions!$B$9+Assumptions!$B$6*H13+Model!$B$11</f>
        <v/>
      </c>
      <c r="L13" t="n">
        <v>1000</v>
      </c>
      <c r="M13" s="17">
        <f>(L13*Assumptions!$B$8-(ROUND(L13*Assumptions!$B$7,0)*Assumptions!$B$8+L13*Assumptions!$B$10+Assumptions!$B$9+Model!$B$11))/(L13*Assumptions!$B$8)</f>
        <v/>
      </c>
      <c r="N13" s="17">
        <f>(L13*Assumptions!$B$8-(ROUND(L13*Assumptions!$B$7,0)*Assumptions!$B$8+L13*Assumptions!$B$10+Model!$B$11))/(L13*Assumptions!$B$8)</f>
        <v/>
      </c>
    </row>
    <row r="14">
      <c r="A14" s="20" t="n">
        <v>0.45</v>
      </c>
      <c r="B14" s="10">
        <f>Model!$B$6-(ROUND(Assumptions!$B$6*A14,0)*Assumptions!$B$8+Model!$B$9+Model!$B$10+Model!$B$11)</f>
        <v/>
      </c>
      <c r="C14" s="17">
        <f>B14/Model!$B$6</f>
        <v/>
      </c>
      <c r="E14" s="10" t="n">
        <v>225</v>
      </c>
      <c r="F14" s="10">
        <f>Assumptions!$B$6*E14-(ROUND(Assumptions!$B$6*Assumptions!$B$7,0)*E14+Model!$B$9+Model!$B$10+Model!$B$11)</f>
        <v/>
      </c>
      <c r="H14" s="10" t="n">
        <v>35</v>
      </c>
      <c r="I14" s="10">
        <f>Model!$B$6-(Model!$B$8+Assumptions!$B$6*H14+Model!$B$10+Model!$B$11)</f>
        <v/>
      </c>
      <c r="J14" s="10">
        <f>Assumptions!$B$9+Assumptions!$B$6*H14+Model!$B$11</f>
        <v/>
      </c>
    </row>
    <row r="15">
      <c r="A15" s="20" t="n">
        <v>0.5</v>
      </c>
      <c r="B15" s="10">
        <f>Model!$B$6-(ROUND(Assumptions!$B$6*A15,0)*Assumptions!$B$8+Model!$B$9+Model!$B$10+Model!$B$11)</f>
        <v/>
      </c>
      <c r="C15" s="17">
        <f>B15/Model!$B$6</f>
        <v/>
      </c>
      <c r="E15" s="10" t="n">
        <v>250</v>
      </c>
      <c r="F15" s="10">
        <f>Assumptions!$B$6*E15-(ROUND(Assumptions!$B$6*Assumptions!$B$7,0)*E15+Model!$B$9+Model!$B$10+Model!$B$11)</f>
        <v/>
      </c>
      <c r="H15" s="10" t="n">
        <v>40</v>
      </c>
      <c r="I15" s="10">
        <f>Model!$B$6-(Model!$B$8+Assumptions!$B$6*H15+Model!$B$10+Model!$B$11)</f>
        <v/>
      </c>
      <c r="J15" s="10">
        <f>Assumptions!$B$9+Assumptions!$B$6*H15+Model!$B$11</f>
        <v/>
      </c>
    </row>
    <row r="16">
      <c r="A16" s="20" t="n">
        <v>0.55</v>
      </c>
      <c r="B16" s="10">
        <f>Model!$B$6-(ROUND(Assumptions!$B$6*A16,0)*Assumptions!$B$8+Model!$B$9+Model!$B$10+Model!$B$11)</f>
        <v/>
      </c>
      <c r="C16" s="17">
        <f>B16/Model!$B$6</f>
        <v/>
      </c>
      <c r="E16" s="10" t="n">
        <v>275</v>
      </c>
      <c r="F16" s="10">
        <f>Assumptions!$B$6*E16-(ROUND(Assumptions!$B$6*Assumptions!$B$7,0)*E16+Model!$B$9+Model!$B$10+Model!$B$11)</f>
        <v/>
      </c>
      <c r="H16" s="10" t="n">
        <v>50</v>
      </c>
      <c r="I16" s="10">
        <f>Model!$B$6-(Model!$B$8+Assumptions!$B$6*H16+Model!$B$10+Model!$B$11)</f>
        <v/>
      </c>
      <c r="J16" s="10">
        <f>Assumptions!$B$9+Assumptions!$B$6*H16+Model!$B$11</f>
        <v/>
      </c>
    </row>
    <row r="17">
      <c r="E17" s="10" t="n">
        <v>300</v>
      </c>
      <c r="F17" s="10">
        <f>Assumptions!$B$6*E17-(ROUND(Assumptions!$B$6*Assumptions!$B$7,0)*E17+Model!$B$9+Model!$B$10+Model!$B$11)</f>
        <v/>
      </c>
    </row>
    <row r="18">
      <c r="E18" s="10" t="n">
        <v>325</v>
      </c>
      <c r="F18" s="10">
        <f>Assumptions!$B$6*E18-(ROUND(Assumptions!$B$6*Assumptions!$B$7,0)*E18+Model!$B$9+Model!$B$10+Model!$B$11)</f>
        <v/>
      </c>
    </row>
    <row r="19">
      <c r="E19" s="10" t="n">
        <v>350</v>
      </c>
      <c r="F19" s="10">
        <f>Assumptions!$B$6*E19-(ROUND(Assumptions!$B$6*Assumptions!$B$7,0)*E19+Model!$B$9+Model!$B$10+Model!$B$11)</f>
        <v/>
      </c>
    </row>
    <row r="20">
      <c r="E20" s="10" t="n">
        <v>375</v>
      </c>
      <c r="F20" s="10">
        <f>Assumptions!$B$6*E20-(ROUND(Assumptions!$B$6*Assumptions!$B$7,0)*E20+Model!$B$9+Model!$B$10+Model!$B$11)</f>
        <v/>
      </c>
    </row>
    <row r="21">
      <c r="E21" s="10" t="n">
        <v>400</v>
      </c>
      <c r="F21" s="10">
        <f>Assumptions!$B$6*E21-(ROUND(Assumptions!$B$6*Assumptions!$B$7,0)*E21+Model!$B$9+Model!$B$10+Model!$B$11)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16" customWidth="1" min="6" max="6"/>
  </cols>
  <sheetData>
    <row r="1">
      <c r="A1" s="1" t="inlineStr">
        <is>
          <t>Pricing structures — what each one does to a small customer</t>
        </is>
      </c>
    </row>
    <row r="2">
      <c r="A2" s="2" t="inlineStr">
        <is>
          <t>A fixed annual fee spread over few screens is what breaks the small end. Edit the yellow cells and watch the tables and both charts move.</t>
        </is>
      </c>
    </row>
    <row r="4">
      <c r="A4" s="3" t="inlineStr">
        <is>
          <t>Structure</t>
        </is>
      </c>
      <c r="B4" s="3" t="inlineStr">
        <is>
          <t>Parameter</t>
        </is>
      </c>
      <c r="C4" s="3" t="inlineStr">
        <is>
          <t>Value</t>
        </is>
      </c>
    </row>
    <row r="5">
      <c r="A5" s="21" t="inlineStr">
        <is>
          <t>A · Today</t>
        </is>
      </c>
      <c r="B5" t="inlineStr">
        <is>
          <t>Fixed annual fee</t>
        </is>
      </c>
      <c r="C5" s="7" t="n">
        <v>5000</v>
      </c>
    </row>
    <row r="6">
      <c r="A6" s="21" t="inlineStr"/>
      <c r="B6" t="inlineStr">
        <is>
          <t>Price per screen</t>
        </is>
      </c>
      <c r="C6" s="7" t="n">
        <v>40</v>
      </c>
    </row>
    <row r="7">
      <c r="A7" s="21" t="inlineStr">
        <is>
          <t>B · Flat per-screen</t>
        </is>
      </c>
      <c r="B7" t="inlineStr">
        <is>
          <t>Price per screen</t>
        </is>
      </c>
      <c r="C7" s="7" t="n">
        <v>50</v>
      </c>
    </row>
    <row r="8">
      <c r="A8" s="21" t="inlineStr">
        <is>
          <t>C · Small base + per-screen</t>
        </is>
      </c>
      <c r="B8" t="inlineStr">
        <is>
          <t>Base annual fee</t>
        </is>
      </c>
      <c r="C8" s="7" t="n">
        <v>500</v>
      </c>
    </row>
    <row r="9">
      <c r="A9" s="21" t="inlineStr"/>
      <c r="B9" t="inlineStr">
        <is>
          <t>Price per screen</t>
        </is>
      </c>
      <c r="C9" s="7" t="n">
        <v>45</v>
      </c>
    </row>
    <row r="11">
      <c r="A11" s="9" t="inlineStr">
        <is>
          <t>D · Tiers — a tier's price applies from its included volume; anything above is charged as overage</t>
        </is>
      </c>
    </row>
    <row r="12">
      <c r="A12" s="3" t="inlineStr">
        <is>
          <t>Tier</t>
        </is>
      </c>
      <c r="B12" s="3" t="inlineStr">
        <is>
          <t>Screens included</t>
        </is>
      </c>
      <c r="C12" s="3" t="inlineStr">
        <is>
          <t>Annual price</t>
        </is>
      </c>
    </row>
    <row r="13">
      <c r="A13" t="inlineStr">
        <is>
          <t>Pay as you go</t>
        </is>
      </c>
      <c r="B13" s="22" t="n">
        <v>0</v>
      </c>
      <c r="C13" s="23" t="n">
        <v>0</v>
      </c>
    </row>
    <row r="14">
      <c r="A14" t="inlineStr">
        <is>
          <t>Starter</t>
        </is>
      </c>
      <c r="B14" s="22" t="n">
        <v>25</v>
      </c>
      <c r="C14" s="23" t="n">
        <v>1250</v>
      </c>
    </row>
    <row r="15">
      <c r="A15" t="inlineStr">
        <is>
          <t>Small</t>
        </is>
      </c>
      <c r="B15" s="22" t="n">
        <v>50</v>
      </c>
      <c r="C15" s="23" t="n">
        <v>2500</v>
      </c>
    </row>
    <row r="16">
      <c r="A16" t="inlineStr">
        <is>
          <t>Standard</t>
        </is>
      </c>
      <c r="B16" s="22" t="n">
        <v>100</v>
      </c>
      <c r="C16" s="23" t="n">
        <v>5000</v>
      </c>
    </row>
    <row r="17">
      <c r="A17" t="inlineStr">
        <is>
          <t>Programme</t>
        </is>
      </c>
      <c r="B17" s="22" t="n">
        <v>200</v>
      </c>
      <c r="C17" s="23" t="n">
        <v>10000</v>
      </c>
    </row>
    <row r="18">
      <c r="A18" t="inlineStr">
        <is>
          <t>Enterprise</t>
        </is>
      </c>
      <c r="B18" s="22" t="n">
        <v>500</v>
      </c>
      <c r="C18" s="23" t="n">
        <v>25000</v>
      </c>
    </row>
    <row r="19">
      <c r="A19" t="inlineStr">
        <is>
          <t>Overage, per screen above the tier</t>
        </is>
      </c>
      <c r="C19" s="7" t="n">
        <v>50</v>
      </c>
    </row>
    <row r="22">
      <c r="A22" s="9" t="inlineStr">
        <is>
          <t>1 · What the customer pays us (including the device)</t>
        </is>
      </c>
    </row>
    <row r="23">
      <c r="A23" s="3" t="inlineStr">
        <is>
          <t>Samples / year</t>
        </is>
      </c>
      <c r="B23" s="3" t="inlineStr">
        <is>
          <t>A · Today</t>
        </is>
      </c>
      <c r="C23" s="3" t="inlineStr">
        <is>
          <t>B · Flat per-screen</t>
        </is>
      </c>
      <c r="D23" s="3" t="inlineStr">
        <is>
          <t>C · Base + per-screen</t>
        </is>
      </c>
      <c r="E23" s="3" t="inlineStr">
        <is>
          <t>D · Tiers</t>
        </is>
      </c>
    </row>
    <row r="24">
      <c r="A24" t="n">
        <v>25</v>
      </c>
      <c r="B24" s="10">
        <f>$C$5+$C$6*$A24+Assumptions!$B$13*Assumptions!$B$14</f>
        <v/>
      </c>
      <c r="C24" s="10">
        <f>$C$7*$A24+Assumptions!$B$13*Assumptions!$B$14</f>
        <v/>
      </c>
      <c r="D24" s="10">
        <f>$C$8+$C$9*$A24+Assumptions!$B$13*Assumptions!$B$14</f>
        <v/>
      </c>
      <c r="E24" s="10">
        <f>INDEX($C$13:$C$18,MATCH($A24,$B$13:$B$18,1))+MAX(0,$A24-INDEX($B$13:$B$18,MATCH($A24,$B$13:$B$18,1)))*$C$19+Assumptions!$B$13*Assumptions!$B$14</f>
        <v/>
      </c>
    </row>
    <row r="25">
      <c r="A25" t="n">
        <v>50</v>
      </c>
      <c r="B25" s="10">
        <f>$C$5+$C$6*$A25+Assumptions!$B$13*Assumptions!$B$14</f>
        <v/>
      </c>
      <c r="C25" s="10">
        <f>$C$7*$A25+Assumptions!$B$13*Assumptions!$B$14</f>
        <v/>
      </c>
      <c r="D25" s="10">
        <f>$C$8+$C$9*$A25+Assumptions!$B$13*Assumptions!$B$14</f>
        <v/>
      </c>
      <c r="E25" s="10">
        <f>INDEX($C$13:$C$18,MATCH($A25,$B$13:$B$18,1))+MAX(0,$A25-INDEX($B$13:$B$18,MATCH($A25,$B$13:$B$18,1)))*$C$19+Assumptions!$B$13*Assumptions!$B$14</f>
        <v/>
      </c>
    </row>
    <row r="26">
      <c r="A26" t="n">
        <v>100</v>
      </c>
      <c r="B26" s="10">
        <f>$C$5+$C$6*$A26+Assumptions!$B$13*Assumptions!$B$14</f>
        <v/>
      </c>
      <c r="C26" s="10">
        <f>$C$7*$A26+Assumptions!$B$13*Assumptions!$B$14</f>
        <v/>
      </c>
      <c r="D26" s="10">
        <f>$C$8+$C$9*$A26+Assumptions!$B$13*Assumptions!$B$14</f>
        <v/>
      </c>
      <c r="E26" s="10">
        <f>INDEX($C$13:$C$18,MATCH($A26,$B$13:$B$18,1))+MAX(0,$A26-INDEX($B$13:$B$18,MATCH($A26,$B$13:$B$18,1)))*$C$19+Assumptions!$B$13*Assumptions!$B$14</f>
        <v/>
      </c>
    </row>
    <row r="27">
      <c r="A27" t="n">
        <v>150</v>
      </c>
      <c r="B27" s="10">
        <f>$C$5+$C$6*$A27+Assumptions!$B$13*Assumptions!$B$14</f>
        <v/>
      </c>
      <c r="C27" s="10">
        <f>$C$7*$A27+Assumptions!$B$13*Assumptions!$B$14</f>
        <v/>
      </c>
      <c r="D27" s="10">
        <f>$C$8+$C$9*$A27+Assumptions!$B$13*Assumptions!$B$14</f>
        <v/>
      </c>
      <c r="E27" s="10">
        <f>INDEX($C$13:$C$18,MATCH($A27,$B$13:$B$18,1))+MAX(0,$A27-INDEX($B$13:$B$18,MATCH($A27,$B$13:$B$18,1)))*$C$19+Assumptions!$B$13*Assumptions!$B$14</f>
        <v/>
      </c>
    </row>
    <row r="28">
      <c r="A28" t="n">
        <v>200</v>
      </c>
      <c r="B28" s="10">
        <f>$C$5+$C$6*$A28+Assumptions!$B$13*Assumptions!$B$14</f>
        <v/>
      </c>
      <c r="C28" s="10">
        <f>$C$7*$A28+Assumptions!$B$13*Assumptions!$B$14</f>
        <v/>
      </c>
      <c r="D28" s="10">
        <f>$C$8+$C$9*$A28+Assumptions!$B$13*Assumptions!$B$14</f>
        <v/>
      </c>
      <c r="E28" s="10">
        <f>INDEX($C$13:$C$18,MATCH($A28,$B$13:$B$18,1))+MAX(0,$A28-INDEX($B$13:$B$18,MATCH($A28,$B$13:$B$18,1)))*$C$19+Assumptions!$B$13*Assumptions!$B$14</f>
        <v/>
      </c>
    </row>
    <row r="29">
      <c r="A29" t="n">
        <v>300</v>
      </c>
      <c r="B29" s="10">
        <f>$C$5+$C$6*$A29+Assumptions!$B$13*Assumptions!$B$14</f>
        <v/>
      </c>
      <c r="C29" s="10">
        <f>$C$7*$A29+Assumptions!$B$13*Assumptions!$B$14</f>
        <v/>
      </c>
      <c r="D29" s="10">
        <f>$C$8+$C$9*$A29+Assumptions!$B$13*Assumptions!$B$14</f>
        <v/>
      </c>
      <c r="E29" s="10">
        <f>INDEX($C$13:$C$18,MATCH($A29,$B$13:$B$18,1))+MAX(0,$A29-INDEX($B$13:$B$18,MATCH($A29,$B$13:$B$18,1)))*$C$19+Assumptions!$B$13*Assumptions!$B$14</f>
        <v/>
      </c>
    </row>
    <row r="30">
      <c r="A30" t="n">
        <v>500</v>
      </c>
      <c r="B30" s="10">
        <f>$C$5+$C$6*$A30+Assumptions!$B$13*Assumptions!$B$14</f>
        <v/>
      </c>
      <c r="C30" s="10">
        <f>$C$7*$A30+Assumptions!$B$13*Assumptions!$B$14</f>
        <v/>
      </c>
      <c r="D30" s="10">
        <f>$C$8+$C$9*$A30+Assumptions!$B$13*Assumptions!$B$14</f>
        <v/>
      </c>
      <c r="E30" s="10">
        <f>INDEX($C$13:$C$18,MATCH($A30,$B$13:$B$18,1))+MAX(0,$A30-INDEX($B$13:$B$18,MATCH($A30,$B$13:$B$18,1)))*$C$19+Assumptions!$B$13*Assumptions!$B$14</f>
        <v/>
      </c>
    </row>
    <row r="31">
      <c r="A31" t="n">
        <v>750</v>
      </c>
      <c r="B31" s="10">
        <f>$C$5+$C$6*$A31+Assumptions!$B$13*Assumptions!$B$14</f>
        <v/>
      </c>
      <c r="C31" s="10">
        <f>$C$7*$A31+Assumptions!$B$13*Assumptions!$B$14</f>
        <v/>
      </c>
      <c r="D31" s="10">
        <f>$C$8+$C$9*$A31+Assumptions!$B$13*Assumptions!$B$14</f>
        <v/>
      </c>
      <c r="E31" s="10">
        <f>INDEX($C$13:$C$18,MATCH($A31,$B$13:$B$18,1))+MAX(0,$A31-INDEX($B$13:$B$18,MATCH($A31,$B$13:$B$18,1)))*$C$19+Assumptions!$B$13*Assumptions!$B$14</f>
        <v/>
      </c>
    </row>
    <row r="32">
      <c r="A32" t="n">
        <v>1000</v>
      </c>
      <c r="B32" s="10">
        <f>$C$5+$C$6*$A32+Assumptions!$B$13*Assumptions!$B$14</f>
        <v/>
      </c>
      <c r="C32" s="10">
        <f>$C$7*$A32+Assumptions!$B$13*Assumptions!$B$14</f>
        <v/>
      </c>
      <c r="D32" s="10">
        <f>$C$8+$C$9*$A32+Assumptions!$B$13*Assumptions!$B$14</f>
        <v/>
      </c>
      <c r="E32" s="10">
        <f>INDEX($C$13:$C$18,MATCH($A32,$B$13:$B$18,1))+MAX(0,$A32-INDEX($B$13:$B$18,MATCH($A32,$B$13:$B$18,1)))*$C$19+Assumptions!$B$13*Assumptions!$B$14</f>
        <v/>
      </c>
    </row>
    <row r="35">
      <c r="A35" s="9" t="inlineStr">
        <is>
          <t>2 · Customer saving against testing everything at the lab</t>
        </is>
      </c>
    </row>
    <row r="36">
      <c r="A36" s="3" t="inlineStr">
        <is>
          <t>Samples / year</t>
        </is>
      </c>
      <c r="B36" s="3" t="inlineStr">
        <is>
          <t>A · Today</t>
        </is>
      </c>
      <c r="C36" s="3" t="inlineStr">
        <is>
          <t>B · Flat per-screen</t>
        </is>
      </c>
      <c r="D36" s="3" t="inlineStr">
        <is>
          <t>C · Base + per-screen</t>
        </is>
      </c>
      <c r="E36" s="3" t="inlineStr">
        <is>
          <t>D · Tiers</t>
        </is>
      </c>
    </row>
    <row r="37">
      <c r="A37" t="n">
        <v>25</v>
      </c>
      <c r="B37" s="17">
        <f>($A37*Assumptions!$B$8-(ROUND($A37*Assumptions!$B$7,0)*Assumptions!$B$8+B24))/($A37*Assumptions!$B$8)</f>
        <v/>
      </c>
      <c r="C37" s="17">
        <f>($A37*Assumptions!$B$8-(ROUND($A37*Assumptions!$B$7,0)*Assumptions!$B$8+C24))/($A37*Assumptions!$B$8)</f>
        <v/>
      </c>
      <c r="D37" s="17">
        <f>($A37*Assumptions!$B$8-(ROUND($A37*Assumptions!$B$7,0)*Assumptions!$B$8+D24))/($A37*Assumptions!$B$8)</f>
        <v/>
      </c>
      <c r="E37" s="17">
        <f>($A37*Assumptions!$B$8-(ROUND($A37*Assumptions!$B$7,0)*Assumptions!$B$8+E24))/($A37*Assumptions!$B$8)</f>
        <v/>
      </c>
    </row>
    <row r="38">
      <c r="A38" t="n">
        <v>50</v>
      </c>
      <c r="B38" s="17">
        <f>($A38*Assumptions!$B$8-(ROUND($A38*Assumptions!$B$7,0)*Assumptions!$B$8+B25))/($A38*Assumptions!$B$8)</f>
        <v/>
      </c>
      <c r="C38" s="17">
        <f>($A38*Assumptions!$B$8-(ROUND($A38*Assumptions!$B$7,0)*Assumptions!$B$8+C25))/($A38*Assumptions!$B$8)</f>
        <v/>
      </c>
      <c r="D38" s="17">
        <f>($A38*Assumptions!$B$8-(ROUND($A38*Assumptions!$B$7,0)*Assumptions!$B$8+D25))/($A38*Assumptions!$B$8)</f>
        <v/>
      </c>
      <c r="E38" s="17">
        <f>($A38*Assumptions!$B$8-(ROUND($A38*Assumptions!$B$7,0)*Assumptions!$B$8+E25))/($A38*Assumptions!$B$8)</f>
        <v/>
      </c>
    </row>
    <row r="39">
      <c r="A39" t="n">
        <v>100</v>
      </c>
      <c r="B39" s="17">
        <f>($A39*Assumptions!$B$8-(ROUND($A39*Assumptions!$B$7,0)*Assumptions!$B$8+B26))/($A39*Assumptions!$B$8)</f>
        <v/>
      </c>
      <c r="C39" s="17">
        <f>($A39*Assumptions!$B$8-(ROUND($A39*Assumptions!$B$7,0)*Assumptions!$B$8+C26))/($A39*Assumptions!$B$8)</f>
        <v/>
      </c>
      <c r="D39" s="17">
        <f>($A39*Assumptions!$B$8-(ROUND($A39*Assumptions!$B$7,0)*Assumptions!$B$8+D26))/($A39*Assumptions!$B$8)</f>
        <v/>
      </c>
      <c r="E39" s="17">
        <f>($A39*Assumptions!$B$8-(ROUND($A39*Assumptions!$B$7,0)*Assumptions!$B$8+E26))/($A39*Assumptions!$B$8)</f>
        <v/>
      </c>
    </row>
    <row r="40">
      <c r="A40" t="n">
        <v>150</v>
      </c>
      <c r="B40" s="17">
        <f>($A40*Assumptions!$B$8-(ROUND($A40*Assumptions!$B$7,0)*Assumptions!$B$8+B27))/($A40*Assumptions!$B$8)</f>
        <v/>
      </c>
      <c r="C40" s="17">
        <f>($A40*Assumptions!$B$8-(ROUND($A40*Assumptions!$B$7,0)*Assumptions!$B$8+C27))/($A40*Assumptions!$B$8)</f>
        <v/>
      </c>
      <c r="D40" s="17">
        <f>($A40*Assumptions!$B$8-(ROUND($A40*Assumptions!$B$7,0)*Assumptions!$B$8+D27))/($A40*Assumptions!$B$8)</f>
        <v/>
      </c>
      <c r="E40" s="17">
        <f>($A40*Assumptions!$B$8-(ROUND($A40*Assumptions!$B$7,0)*Assumptions!$B$8+E27))/($A40*Assumptions!$B$8)</f>
        <v/>
      </c>
    </row>
    <row r="41">
      <c r="A41" t="n">
        <v>200</v>
      </c>
      <c r="B41" s="17">
        <f>($A41*Assumptions!$B$8-(ROUND($A41*Assumptions!$B$7,0)*Assumptions!$B$8+B28))/($A41*Assumptions!$B$8)</f>
        <v/>
      </c>
      <c r="C41" s="17">
        <f>($A41*Assumptions!$B$8-(ROUND($A41*Assumptions!$B$7,0)*Assumptions!$B$8+C28))/($A41*Assumptions!$B$8)</f>
        <v/>
      </c>
      <c r="D41" s="17">
        <f>($A41*Assumptions!$B$8-(ROUND($A41*Assumptions!$B$7,0)*Assumptions!$B$8+D28))/($A41*Assumptions!$B$8)</f>
        <v/>
      </c>
      <c r="E41" s="17">
        <f>($A41*Assumptions!$B$8-(ROUND($A41*Assumptions!$B$7,0)*Assumptions!$B$8+E28))/($A41*Assumptions!$B$8)</f>
        <v/>
      </c>
    </row>
    <row r="42">
      <c r="A42" t="n">
        <v>300</v>
      </c>
      <c r="B42" s="17">
        <f>($A42*Assumptions!$B$8-(ROUND($A42*Assumptions!$B$7,0)*Assumptions!$B$8+B29))/($A42*Assumptions!$B$8)</f>
        <v/>
      </c>
      <c r="C42" s="17">
        <f>($A42*Assumptions!$B$8-(ROUND($A42*Assumptions!$B$7,0)*Assumptions!$B$8+C29))/($A42*Assumptions!$B$8)</f>
        <v/>
      </c>
      <c r="D42" s="17">
        <f>($A42*Assumptions!$B$8-(ROUND($A42*Assumptions!$B$7,0)*Assumptions!$B$8+D29))/($A42*Assumptions!$B$8)</f>
        <v/>
      </c>
      <c r="E42" s="17">
        <f>($A42*Assumptions!$B$8-(ROUND($A42*Assumptions!$B$7,0)*Assumptions!$B$8+E29))/($A42*Assumptions!$B$8)</f>
        <v/>
      </c>
    </row>
    <row r="43">
      <c r="A43" t="n">
        <v>500</v>
      </c>
      <c r="B43" s="17">
        <f>($A43*Assumptions!$B$8-(ROUND($A43*Assumptions!$B$7,0)*Assumptions!$B$8+B30))/($A43*Assumptions!$B$8)</f>
        <v/>
      </c>
      <c r="C43" s="17">
        <f>($A43*Assumptions!$B$8-(ROUND($A43*Assumptions!$B$7,0)*Assumptions!$B$8+C30))/($A43*Assumptions!$B$8)</f>
        <v/>
      </c>
      <c r="D43" s="17">
        <f>($A43*Assumptions!$B$8-(ROUND($A43*Assumptions!$B$7,0)*Assumptions!$B$8+D30))/($A43*Assumptions!$B$8)</f>
        <v/>
      </c>
      <c r="E43" s="17">
        <f>($A43*Assumptions!$B$8-(ROUND($A43*Assumptions!$B$7,0)*Assumptions!$B$8+E30))/($A43*Assumptions!$B$8)</f>
        <v/>
      </c>
    </row>
    <row r="44">
      <c r="A44" t="n">
        <v>750</v>
      </c>
      <c r="B44" s="17">
        <f>($A44*Assumptions!$B$8-(ROUND($A44*Assumptions!$B$7,0)*Assumptions!$B$8+B31))/($A44*Assumptions!$B$8)</f>
        <v/>
      </c>
      <c r="C44" s="17">
        <f>($A44*Assumptions!$B$8-(ROUND($A44*Assumptions!$B$7,0)*Assumptions!$B$8+C31))/($A44*Assumptions!$B$8)</f>
        <v/>
      </c>
      <c r="D44" s="17">
        <f>($A44*Assumptions!$B$8-(ROUND($A44*Assumptions!$B$7,0)*Assumptions!$B$8+D31))/($A44*Assumptions!$B$8)</f>
        <v/>
      </c>
      <c r="E44" s="17">
        <f>($A44*Assumptions!$B$8-(ROUND($A44*Assumptions!$B$7,0)*Assumptions!$B$8+E31))/($A44*Assumptions!$B$8)</f>
        <v/>
      </c>
    </row>
    <row r="45">
      <c r="A45" t="n">
        <v>1000</v>
      </c>
      <c r="B45" s="17">
        <f>($A45*Assumptions!$B$8-(ROUND($A45*Assumptions!$B$7,0)*Assumptions!$B$8+B32))/($A45*Assumptions!$B$8)</f>
        <v/>
      </c>
      <c r="C45" s="17">
        <f>($A45*Assumptions!$B$8-(ROUND($A45*Assumptions!$B$7,0)*Assumptions!$B$8+C32))/($A45*Assumptions!$B$8)</f>
        <v/>
      </c>
      <c r="D45" s="17">
        <f>($A45*Assumptions!$B$8-(ROUND($A45*Assumptions!$B$7,0)*Assumptions!$B$8+D32))/($A45*Assumptions!$B$8)</f>
        <v/>
      </c>
      <c r="E45" s="17">
        <f>($A45*Assumptions!$B$8-(ROUND($A45*Assumptions!$B$7,0)*Assumptions!$B$8+E32))/($A45*Assumptions!$B$8)</f>
        <v/>
      </c>
    </row>
    <row r="48">
      <c r="A48" s="9" t="inlineStr">
        <is>
          <t>3 · Effective cost per screen — the number that explains everything</t>
        </is>
      </c>
    </row>
    <row r="49">
      <c r="A49" s="3" t="inlineStr">
        <is>
          <t>Samples / year</t>
        </is>
      </c>
      <c r="B49" s="3" t="inlineStr">
        <is>
          <t>A · Today</t>
        </is>
      </c>
      <c r="C49" s="3" t="inlineStr">
        <is>
          <t>B · Flat per-screen</t>
        </is>
      </c>
      <c r="D49" s="3" t="inlineStr">
        <is>
          <t>C · Base + per-screen</t>
        </is>
      </c>
      <c r="E49" s="3" t="inlineStr">
        <is>
          <t>D · Tiers</t>
        </is>
      </c>
      <c r="F49" s="3" t="inlineStr">
        <is>
          <t>One lab test</t>
        </is>
      </c>
    </row>
    <row r="50">
      <c r="A50" t="n">
        <v>25</v>
      </c>
      <c r="B50" s="10">
        <f>B24/$A50</f>
        <v/>
      </c>
      <c r="C50" s="10">
        <f>C24/$A50</f>
        <v/>
      </c>
      <c r="D50" s="10">
        <f>D24/$A50</f>
        <v/>
      </c>
      <c r="E50" s="10">
        <f>E24/$A50</f>
        <v/>
      </c>
      <c r="F50" s="10">
        <f>Assumptions!$B$8</f>
        <v/>
      </c>
    </row>
    <row r="51">
      <c r="A51" t="n">
        <v>50</v>
      </c>
      <c r="B51" s="10">
        <f>B25/$A51</f>
        <v/>
      </c>
      <c r="C51" s="10">
        <f>C25/$A51</f>
        <v/>
      </c>
      <c r="D51" s="10">
        <f>D25/$A51</f>
        <v/>
      </c>
      <c r="E51" s="10">
        <f>E25/$A51</f>
        <v/>
      </c>
      <c r="F51" s="10">
        <f>Assumptions!$B$8</f>
        <v/>
      </c>
    </row>
    <row r="52">
      <c r="A52" t="n">
        <v>100</v>
      </c>
      <c r="B52" s="10">
        <f>B26/$A52</f>
        <v/>
      </c>
      <c r="C52" s="10">
        <f>C26/$A52</f>
        <v/>
      </c>
      <c r="D52" s="10">
        <f>D26/$A52</f>
        <v/>
      </c>
      <c r="E52" s="10">
        <f>E26/$A52</f>
        <v/>
      </c>
      <c r="F52" s="10">
        <f>Assumptions!$B$8</f>
        <v/>
      </c>
    </row>
    <row r="53">
      <c r="A53" t="n">
        <v>150</v>
      </c>
      <c r="B53" s="10">
        <f>B27/$A53</f>
        <v/>
      </c>
      <c r="C53" s="10">
        <f>C27/$A53</f>
        <v/>
      </c>
      <c r="D53" s="10">
        <f>D27/$A53</f>
        <v/>
      </c>
      <c r="E53" s="10">
        <f>E27/$A53</f>
        <v/>
      </c>
      <c r="F53" s="10">
        <f>Assumptions!$B$8</f>
        <v/>
      </c>
    </row>
    <row r="54">
      <c r="A54" t="n">
        <v>200</v>
      </c>
      <c r="B54" s="10">
        <f>B28/$A54</f>
        <v/>
      </c>
      <c r="C54" s="10">
        <f>C28/$A54</f>
        <v/>
      </c>
      <c r="D54" s="10">
        <f>D28/$A54</f>
        <v/>
      </c>
      <c r="E54" s="10">
        <f>E28/$A54</f>
        <v/>
      </c>
      <c r="F54" s="10">
        <f>Assumptions!$B$8</f>
        <v/>
      </c>
    </row>
    <row r="55">
      <c r="A55" t="n">
        <v>300</v>
      </c>
      <c r="B55" s="10">
        <f>B29/$A55</f>
        <v/>
      </c>
      <c r="C55" s="10">
        <f>C29/$A55</f>
        <v/>
      </c>
      <c r="D55" s="10">
        <f>D29/$A55</f>
        <v/>
      </c>
      <c r="E55" s="10">
        <f>E29/$A55</f>
        <v/>
      </c>
      <c r="F55" s="10">
        <f>Assumptions!$B$8</f>
        <v/>
      </c>
    </row>
    <row r="56">
      <c r="A56" t="n">
        <v>500</v>
      </c>
      <c r="B56" s="10">
        <f>B30/$A56</f>
        <v/>
      </c>
      <c r="C56" s="10">
        <f>C30/$A56</f>
        <v/>
      </c>
      <c r="D56" s="10">
        <f>D30/$A56</f>
        <v/>
      </c>
      <c r="E56" s="10">
        <f>E30/$A56</f>
        <v/>
      </c>
      <c r="F56" s="10">
        <f>Assumptions!$B$8</f>
        <v/>
      </c>
    </row>
    <row r="57">
      <c r="A57" t="n">
        <v>750</v>
      </c>
      <c r="B57" s="10">
        <f>B31/$A57</f>
        <v/>
      </c>
      <c r="C57" s="10">
        <f>C31/$A57</f>
        <v/>
      </c>
      <c r="D57" s="10">
        <f>D31/$A57</f>
        <v/>
      </c>
      <c r="E57" s="10">
        <f>E31/$A57</f>
        <v/>
      </c>
      <c r="F57" s="10">
        <f>Assumptions!$B$8</f>
        <v/>
      </c>
    </row>
    <row r="58">
      <c r="A58" t="n">
        <v>1000</v>
      </c>
      <c r="B58" s="10">
        <f>B32/$A58</f>
        <v/>
      </c>
      <c r="C58" s="10">
        <f>C32/$A58</f>
        <v/>
      </c>
      <c r="D58" s="10">
        <f>D32/$A58</f>
        <v/>
      </c>
      <c r="E58" s="10">
        <f>E32/$A58</f>
        <v/>
      </c>
      <c r="F58" s="10">
        <f>Assumptions!$B$8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2026-09-09T03:18:06Z</dcterms:created>
  <dcterms:modified xsi:type="dcterms:W3CDTF">2026-09-09T03:18:06Z</dcterms:modified>
</cp:coreProperties>
</file>